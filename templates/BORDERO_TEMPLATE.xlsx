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trlProps/ctrlProp4.xml" ContentType="application/vnd.ms-excel.controlproperties+xml"/>
  <Override PartName="/xl/drawings/drawing4.xml" ContentType="application/vnd.openxmlformats-officedocument.drawing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trlProps/ctrlProp6.xml" ContentType="application/vnd.ms-excel.controlproperties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trlProps/ctrlProp7.xml" ContentType="application/vnd.ms-excel.controlproperties+xml"/>
  <Override PartName="/xl/calcChain.xml" ContentType="application/vnd.openxmlformats-officedocument.spreadsheetml.calcChain+xml"/>
  <Override PartName="/xl/vbaProject.bin" ContentType="application/vnd.ms-office.vbaProject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 codeName="{28389E77-7640-9E18-AD5C-E98E2F4A8B83}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Gustavo\Desktop\"/>
    </mc:Choice>
  </mc:AlternateContent>
  <xr:revisionPtr revIDLastSave="0" documentId="13_ncr:1_{3D837EF3-A74E-4E28-ADFE-5FAA22D1C16C}" xr6:coauthVersionLast="47" xr6:coauthVersionMax="47" xr10:uidLastSave="{00000000-0000-0000-0000-000000000000}"/>
  <workbookProtection workbookAlgorithmName="SHA-512" workbookHashValue="LpZdtU9iLAmcuy62vNh16CnfzmR9ulbk/CRELPs96iLE9cxpc/Xc5dthh+zYYAVwh1RPM/X68o7ijhqZwk735g==" workbookSaltValue="9CEo+fEjcLo5XjHqIFO+sw==" workbookSpinCount="100000" lockStructure="1"/>
  <bookViews>
    <workbookView xWindow="-120" yWindow="-120" windowWidth="20730" windowHeight="11040" xr2:uid="{00000000-000D-0000-FFFF-FFFF00000000}"/>
  </bookViews>
  <sheets>
    <sheet name="Bordero" sheetId="1" r:id="rId1"/>
    <sheet name="Emails" sheetId="9" state="hidden" r:id="rId2"/>
    <sheet name="Configuração Email" sheetId="8" state="hidden" r:id="rId3"/>
    <sheet name="Import S" sheetId="2" state="hidden" r:id="rId4"/>
    <sheet name="Import O7" sheetId="12" state="hidden" r:id="rId5"/>
    <sheet name="Import A" sheetId="3" state="hidden" r:id="rId6"/>
    <sheet name="Simulador" sheetId="4" state="hidden" r:id="rId7"/>
    <sheet name="Tarifaço" sheetId="7" state="hidden" r:id="rId8"/>
    <sheet name="Import BG" sheetId="5" state="hidden" r:id="rId9"/>
  </sheets>
  <functionGroups builtInGroupCount="19"/>
  <definedNames>
    <definedName name="_xleta.AND" hidden="1" xlm="1">#NAME?</definedName>
    <definedName name="_xleta.EXP" hidden="1" xlm="1">#NAME?</definedName>
    <definedName name="_xleta.N" hidden="1" xlm="1">#NAME?</definedName>
    <definedName name="_xlnm.Print_Area" localSheetId="0">Bordero!$A$1:$I$110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4" l="1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F6" i="4"/>
  <c r="A23" i="5" l="1"/>
  <c r="B23" i="5"/>
  <c r="C23" i="5"/>
  <c r="D23" i="5"/>
  <c r="E23" i="5"/>
  <c r="G23" i="5"/>
  <c r="I23" i="5"/>
  <c r="J23" i="5"/>
  <c r="K23" i="5"/>
  <c r="T23" i="5"/>
  <c r="U23" i="5"/>
  <c r="V23" i="5"/>
  <c r="X23" i="5"/>
  <c r="A24" i="5"/>
  <c r="B24" i="5"/>
  <c r="C24" i="5"/>
  <c r="D24" i="5"/>
  <c r="E24" i="5"/>
  <c r="G24" i="5"/>
  <c r="I24" i="5"/>
  <c r="J24" i="5"/>
  <c r="K24" i="5"/>
  <c r="T24" i="5"/>
  <c r="U24" i="5"/>
  <c r="V24" i="5"/>
  <c r="X24" i="5"/>
  <c r="A25" i="5"/>
  <c r="B25" i="5"/>
  <c r="C25" i="5"/>
  <c r="D25" i="5"/>
  <c r="E25" i="5"/>
  <c r="G25" i="5"/>
  <c r="I25" i="5"/>
  <c r="J25" i="5"/>
  <c r="K25" i="5"/>
  <c r="T25" i="5"/>
  <c r="U25" i="5"/>
  <c r="V25" i="5"/>
  <c r="X25" i="5"/>
  <c r="A26" i="5"/>
  <c r="B26" i="5"/>
  <c r="C26" i="5"/>
  <c r="D26" i="5"/>
  <c r="E26" i="5"/>
  <c r="G26" i="5"/>
  <c r="I26" i="5"/>
  <c r="J26" i="5"/>
  <c r="K26" i="5"/>
  <c r="T26" i="5"/>
  <c r="U26" i="5"/>
  <c r="V26" i="5"/>
  <c r="X26" i="5"/>
  <c r="A27" i="5"/>
  <c r="B27" i="5"/>
  <c r="C27" i="5"/>
  <c r="D27" i="5"/>
  <c r="E27" i="5"/>
  <c r="G27" i="5"/>
  <c r="I27" i="5"/>
  <c r="J27" i="5"/>
  <c r="K27" i="5"/>
  <c r="T27" i="5"/>
  <c r="U27" i="5"/>
  <c r="V27" i="5"/>
  <c r="X27" i="5"/>
  <c r="A28" i="5"/>
  <c r="B28" i="5"/>
  <c r="C28" i="5"/>
  <c r="D28" i="5"/>
  <c r="E28" i="5"/>
  <c r="G28" i="5"/>
  <c r="I28" i="5"/>
  <c r="J28" i="5"/>
  <c r="K28" i="5"/>
  <c r="T28" i="5"/>
  <c r="U28" i="5"/>
  <c r="V28" i="5"/>
  <c r="X28" i="5"/>
  <c r="A29" i="5"/>
  <c r="B29" i="5"/>
  <c r="C29" i="5"/>
  <c r="D29" i="5"/>
  <c r="E29" i="5"/>
  <c r="G29" i="5"/>
  <c r="I29" i="5"/>
  <c r="J29" i="5"/>
  <c r="K29" i="5"/>
  <c r="T29" i="5"/>
  <c r="U29" i="5"/>
  <c r="V29" i="5"/>
  <c r="X29" i="5"/>
  <c r="A30" i="5"/>
  <c r="B30" i="5"/>
  <c r="C30" i="5"/>
  <c r="D30" i="5"/>
  <c r="E30" i="5"/>
  <c r="G30" i="5"/>
  <c r="I30" i="5"/>
  <c r="J30" i="5"/>
  <c r="K30" i="5"/>
  <c r="T30" i="5"/>
  <c r="U30" i="5"/>
  <c r="V30" i="5"/>
  <c r="X30" i="5"/>
  <c r="A31" i="5"/>
  <c r="B31" i="5"/>
  <c r="C31" i="5"/>
  <c r="D31" i="5"/>
  <c r="E31" i="5"/>
  <c r="G31" i="5"/>
  <c r="I31" i="5"/>
  <c r="J31" i="5"/>
  <c r="K31" i="5"/>
  <c r="T31" i="5"/>
  <c r="U31" i="5"/>
  <c r="V31" i="5"/>
  <c r="X31" i="5"/>
  <c r="A32" i="5"/>
  <c r="B32" i="5"/>
  <c r="C32" i="5"/>
  <c r="D32" i="5"/>
  <c r="E32" i="5"/>
  <c r="G32" i="5"/>
  <c r="I32" i="5"/>
  <c r="J32" i="5"/>
  <c r="K32" i="5"/>
  <c r="T32" i="5"/>
  <c r="U32" i="5"/>
  <c r="V32" i="5"/>
  <c r="X32" i="5"/>
  <c r="A33" i="5"/>
  <c r="B33" i="5"/>
  <c r="C33" i="5"/>
  <c r="D33" i="5"/>
  <c r="E33" i="5"/>
  <c r="G33" i="5"/>
  <c r="I33" i="5"/>
  <c r="J33" i="5"/>
  <c r="K33" i="5"/>
  <c r="T33" i="5"/>
  <c r="U33" i="5"/>
  <c r="V33" i="5"/>
  <c r="X33" i="5"/>
  <c r="A34" i="5"/>
  <c r="B34" i="5"/>
  <c r="C34" i="5"/>
  <c r="D34" i="5"/>
  <c r="E34" i="5"/>
  <c r="G34" i="5"/>
  <c r="I34" i="5"/>
  <c r="J34" i="5"/>
  <c r="K34" i="5"/>
  <c r="T34" i="5"/>
  <c r="U34" i="5"/>
  <c r="V34" i="5"/>
  <c r="X34" i="5"/>
  <c r="A35" i="5"/>
  <c r="B35" i="5"/>
  <c r="C35" i="5"/>
  <c r="D35" i="5"/>
  <c r="E35" i="5"/>
  <c r="G35" i="5"/>
  <c r="I35" i="5"/>
  <c r="J35" i="5"/>
  <c r="K35" i="5"/>
  <c r="T35" i="5"/>
  <c r="U35" i="5"/>
  <c r="V35" i="5"/>
  <c r="X35" i="5"/>
  <c r="A36" i="5"/>
  <c r="B36" i="5"/>
  <c r="C36" i="5"/>
  <c r="D36" i="5"/>
  <c r="E36" i="5"/>
  <c r="G36" i="5"/>
  <c r="I36" i="5"/>
  <c r="J36" i="5"/>
  <c r="K36" i="5"/>
  <c r="T36" i="5"/>
  <c r="U36" i="5"/>
  <c r="V36" i="5"/>
  <c r="X36" i="5"/>
  <c r="A37" i="5"/>
  <c r="B37" i="5"/>
  <c r="C37" i="5"/>
  <c r="D37" i="5"/>
  <c r="E37" i="5"/>
  <c r="G37" i="5"/>
  <c r="I37" i="5"/>
  <c r="J37" i="5"/>
  <c r="K37" i="5"/>
  <c r="T37" i="5"/>
  <c r="U37" i="5"/>
  <c r="V37" i="5"/>
  <c r="X37" i="5"/>
  <c r="A38" i="5"/>
  <c r="B38" i="5"/>
  <c r="C38" i="5"/>
  <c r="D38" i="5"/>
  <c r="E38" i="5"/>
  <c r="G38" i="5"/>
  <c r="I38" i="5"/>
  <c r="J38" i="5"/>
  <c r="K38" i="5"/>
  <c r="T38" i="5"/>
  <c r="U38" i="5"/>
  <c r="V38" i="5"/>
  <c r="X38" i="5"/>
  <c r="A39" i="5"/>
  <c r="B39" i="5"/>
  <c r="C39" i="5"/>
  <c r="D39" i="5"/>
  <c r="E39" i="5"/>
  <c r="G39" i="5"/>
  <c r="I39" i="5"/>
  <c r="J39" i="5"/>
  <c r="K39" i="5"/>
  <c r="T39" i="5"/>
  <c r="U39" i="5"/>
  <c r="V39" i="5"/>
  <c r="X39" i="5"/>
  <c r="A40" i="5"/>
  <c r="B40" i="5"/>
  <c r="C40" i="5"/>
  <c r="D40" i="5"/>
  <c r="E40" i="5"/>
  <c r="G40" i="5"/>
  <c r="I40" i="5"/>
  <c r="J40" i="5"/>
  <c r="K40" i="5"/>
  <c r="T40" i="5"/>
  <c r="U40" i="5"/>
  <c r="V40" i="5"/>
  <c r="X40" i="5"/>
  <c r="A41" i="5"/>
  <c r="B41" i="5"/>
  <c r="C41" i="5"/>
  <c r="D41" i="5"/>
  <c r="E41" i="5"/>
  <c r="G41" i="5"/>
  <c r="I41" i="5"/>
  <c r="J41" i="5"/>
  <c r="K41" i="5"/>
  <c r="T41" i="5"/>
  <c r="U41" i="5"/>
  <c r="V41" i="5"/>
  <c r="X41" i="5"/>
  <c r="A42" i="5"/>
  <c r="B42" i="5"/>
  <c r="C42" i="5"/>
  <c r="D42" i="5"/>
  <c r="E42" i="5"/>
  <c r="G42" i="5"/>
  <c r="I42" i="5"/>
  <c r="J42" i="5"/>
  <c r="K42" i="5"/>
  <c r="T42" i="5"/>
  <c r="U42" i="5"/>
  <c r="V42" i="5"/>
  <c r="X42" i="5"/>
  <c r="A43" i="5"/>
  <c r="B43" i="5"/>
  <c r="C43" i="5"/>
  <c r="D43" i="5"/>
  <c r="E43" i="5"/>
  <c r="G43" i="5"/>
  <c r="I43" i="5"/>
  <c r="J43" i="5"/>
  <c r="K43" i="5"/>
  <c r="T43" i="5"/>
  <c r="U43" i="5"/>
  <c r="V43" i="5"/>
  <c r="X43" i="5"/>
  <c r="A44" i="5"/>
  <c r="B44" i="5"/>
  <c r="C44" i="5"/>
  <c r="D44" i="5"/>
  <c r="E44" i="5"/>
  <c r="G44" i="5"/>
  <c r="I44" i="5"/>
  <c r="J44" i="5"/>
  <c r="K44" i="5"/>
  <c r="T44" i="5"/>
  <c r="U44" i="5"/>
  <c r="V44" i="5"/>
  <c r="X44" i="5"/>
  <c r="A45" i="5"/>
  <c r="B45" i="5"/>
  <c r="C45" i="5"/>
  <c r="D45" i="5"/>
  <c r="E45" i="5"/>
  <c r="G45" i="5"/>
  <c r="I45" i="5"/>
  <c r="J45" i="5"/>
  <c r="K45" i="5"/>
  <c r="T45" i="5"/>
  <c r="U45" i="5"/>
  <c r="V45" i="5"/>
  <c r="X45" i="5"/>
  <c r="A46" i="5"/>
  <c r="B46" i="5"/>
  <c r="C46" i="5"/>
  <c r="D46" i="5"/>
  <c r="E46" i="5"/>
  <c r="G46" i="5"/>
  <c r="I46" i="5"/>
  <c r="J46" i="5"/>
  <c r="K46" i="5"/>
  <c r="T46" i="5"/>
  <c r="U46" i="5"/>
  <c r="V46" i="5"/>
  <c r="X46" i="5"/>
  <c r="A47" i="5"/>
  <c r="B47" i="5"/>
  <c r="C47" i="5"/>
  <c r="D47" i="5"/>
  <c r="E47" i="5"/>
  <c r="G47" i="5"/>
  <c r="I47" i="5"/>
  <c r="J47" i="5"/>
  <c r="K47" i="5"/>
  <c r="T47" i="5"/>
  <c r="U47" i="5"/>
  <c r="V47" i="5"/>
  <c r="X47" i="5"/>
  <c r="A48" i="5"/>
  <c r="B48" i="5"/>
  <c r="C48" i="5"/>
  <c r="D48" i="5"/>
  <c r="E48" i="5"/>
  <c r="G48" i="5"/>
  <c r="I48" i="5"/>
  <c r="J48" i="5"/>
  <c r="K48" i="5"/>
  <c r="T48" i="5"/>
  <c r="U48" i="5"/>
  <c r="V48" i="5"/>
  <c r="X48" i="5"/>
  <c r="A49" i="5"/>
  <c r="B49" i="5"/>
  <c r="C49" i="5"/>
  <c r="D49" i="5"/>
  <c r="E49" i="5"/>
  <c r="G49" i="5"/>
  <c r="I49" i="5"/>
  <c r="J49" i="5"/>
  <c r="K49" i="5"/>
  <c r="T49" i="5"/>
  <c r="U49" i="5"/>
  <c r="V49" i="5"/>
  <c r="X49" i="5"/>
  <c r="A50" i="5"/>
  <c r="B50" i="5"/>
  <c r="C50" i="5"/>
  <c r="D50" i="5"/>
  <c r="E50" i="5"/>
  <c r="G50" i="5"/>
  <c r="I50" i="5"/>
  <c r="J50" i="5"/>
  <c r="K50" i="5"/>
  <c r="T50" i="5"/>
  <c r="U50" i="5"/>
  <c r="V50" i="5"/>
  <c r="X50" i="5"/>
  <c r="A51" i="5"/>
  <c r="B51" i="5"/>
  <c r="C51" i="5"/>
  <c r="D51" i="5"/>
  <c r="E51" i="5"/>
  <c r="G51" i="5"/>
  <c r="I51" i="5"/>
  <c r="J51" i="5"/>
  <c r="K51" i="5"/>
  <c r="T51" i="5"/>
  <c r="U51" i="5"/>
  <c r="V51" i="5"/>
  <c r="X51" i="5"/>
  <c r="A52" i="5"/>
  <c r="B52" i="5"/>
  <c r="C52" i="5"/>
  <c r="D52" i="5"/>
  <c r="E52" i="5"/>
  <c r="G52" i="5"/>
  <c r="I52" i="5"/>
  <c r="J52" i="5"/>
  <c r="K52" i="5"/>
  <c r="T52" i="5"/>
  <c r="U52" i="5"/>
  <c r="V52" i="5"/>
  <c r="X52" i="5"/>
  <c r="A53" i="5"/>
  <c r="B53" i="5"/>
  <c r="C53" i="5"/>
  <c r="D53" i="5"/>
  <c r="E53" i="5"/>
  <c r="G53" i="5"/>
  <c r="I53" i="5"/>
  <c r="J53" i="5"/>
  <c r="K53" i="5"/>
  <c r="T53" i="5"/>
  <c r="U53" i="5"/>
  <c r="V53" i="5"/>
  <c r="X53" i="5"/>
  <c r="A54" i="5"/>
  <c r="B54" i="5"/>
  <c r="C54" i="5"/>
  <c r="D54" i="5"/>
  <c r="E54" i="5"/>
  <c r="G54" i="5"/>
  <c r="I54" i="5"/>
  <c r="J54" i="5"/>
  <c r="K54" i="5"/>
  <c r="T54" i="5"/>
  <c r="U54" i="5"/>
  <c r="V54" i="5"/>
  <c r="X54" i="5"/>
  <c r="A55" i="5"/>
  <c r="B55" i="5"/>
  <c r="C55" i="5"/>
  <c r="D55" i="5"/>
  <c r="E55" i="5"/>
  <c r="G55" i="5"/>
  <c r="I55" i="5"/>
  <c r="J55" i="5"/>
  <c r="K55" i="5"/>
  <c r="T55" i="5"/>
  <c r="U55" i="5"/>
  <c r="V55" i="5"/>
  <c r="X55" i="5"/>
  <c r="A56" i="5"/>
  <c r="B56" i="5"/>
  <c r="C56" i="5"/>
  <c r="D56" i="5"/>
  <c r="E56" i="5"/>
  <c r="G56" i="5"/>
  <c r="I56" i="5"/>
  <c r="J56" i="5"/>
  <c r="K56" i="5"/>
  <c r="T56" i="5"/>
  <c r="U56" i="5"/>
  <c r="V56" i="5"/>
  <c r="X56" i="5"/>
  <c r="A57" i="5"/>
  <c r="B57" i="5"/>
  <c r="C57" i="5"/>
  <c r="D57" i="5"/>
  <c r="E57" i="5"/>
  <c r="G57" i="5"/>
  <c r="I57" i="5"/>
  <c r="J57" i="5"/>
  <c r="K57" i="5"/>
  <c r="T57" i="5"/>
  <c r="U57" i="5"/>
  <c r="V57" i="5"/>
  <c r="X57" i="5"/>
  <c r="A58" i="5"/>
  <c r="B58" i="5"/>
  <c r="C58" i="5"/>
  <c r="D58" i="5"/>
  <c r="E58" i="5"/>
  <c r="G58" i="5"/>
  <c r="I58" i="5"/>
  <c r="J58" i="5"/>
  <c r="K58" i="5"/>
  <c r="T58" i="5"/>
  <c r="U58" i="5"/>
  <c r="V58" i="5"/>
  <c r="X58" i="5"/>
  <c r="A59" i="5"/>
  <c r="B59" i="5"/>
  <c r="C59" i="5"/>
  <c r="D59" i="5"/>
  <c r="E59" i="5"/>
  <c r="G59" i="5"/>
  <c r="I59" i="5"/>
  <c r="J59" i="5"/>
  <c r="K59" i="5"/>
  <c r="T59" i="5"/>
  <c r="U59" i="5"/>
  <c r="V59" i="5"/>
  <c r="X59" i="5"/>
  <c r="A60" i="5"/>
  <c r="B60" i="5"/>
  <c r="C60" i="5"/>
  <c r="D60" i="5"/>
  <c r="E60" i="5"/>
  <c r="G60" i="5"/>
  <c r="I60" i="5"/>
  <c r="J60" i="5"/>
  <c r="K60" i="5"/>
  <c r="T60" i="5"/>
  <c r="U60" i="5"/>
  <c r="V60" i="5"/>
  <c r="X60" i="5"/>
  <c r="A61" i="5"/>
  <c r="B61" i="5"/>
  <c r="C61" i="5"/>
  <c r="D61" i="5"/>
  <c r="E61" i="5"/>
  <c r="G61" i="5"/>
  <c r="I61" i="5"/>
  <c r="J61" i="5"/>
  <c r="K61" i="5"/>
  <c r="T61" i="5"/>
  <c r="U61" i="5"/>
  <c r="V61" i="5"/>
  <c r="X61" i="5"/>
  <c r="A62" i="5"/>
  <c r="B62" i="5"/>
  <c r="C62" i="5"/>
  <c r="D62" i="5"/>
  <c r="E62" i="5"/>
  <c r="G62" i="5"/>
  <c r="I62" i="5"/>
  <c r="J62" i="5"/>
  <c r="K62" i="5"/>
  <c r="T62" i="5"/>
  <c r="U62" i="5"/>
  <c r="V62" i="5"/>
  <c r="X62" i="5"/>
  <c r="A63" i="5"/>
  <c r="B63" i="5"/>
  <c r="C63" i="5"/>
  <c r="D63" i="5"/>
  <c r="E63" i="5"/>
  <c r="G63" i="5"/>
  <c r="I63" i="5"/>
  <c r="J63" i="5"/>
  <c r="K63" i="5"/>
  <c r="T63" i="5"/>
  <c r="U63" i="5"/>
  <c r="V63" i="5"/>
  <c r="X63" i="5"/>
  <c r="A64" i="5"/>
  <c r="B64" i="5"/>
  <c r="C64" i="5"/>
  <c r="D64" i="5"/>
  <c r="E64" i="5"/>
  <c r="G64" i="5"/>
  <c r="I64" i="5"/>
  <c r="J64" i="5"/>
  <c r="K64" i="5"/>
  <c r="T64" i="5"/>
  <c r="U64" i="5"/>
  <c r="V64" i="5"/>
  <c r="X64" i="5"/>
  <c r="A65" i="5"/>
  <c r="B65" i="5"/>
  <c r="C65" i="5"/>
  <c r="D65" i="5"/>
  <c r="E65" i="5"/>
  <c r="G65" i="5"/>
  <c r="I65" i="5"/>
  <c r="J65" i="5"/>
  <c r="K65" i="5"/>
  <c r="T65" i="5"/>
  <c r="U65" i="5"/>
  <c r="V65" i="5"/>
  <c r="X65" i="5"/>
  <c r="A66" i="5"/>
  <c r="B66" i="5"/>
  <c r="C66" i="5"/>
  <c r="D66" i="5"/>
  <c r="E66" i="5"/>
  <c r="G66" i="5"/>
  <c r="I66" i="5"/>
  <c r="J66" i="5"/>
  <c r="K66" i="5"/>
  <c r="T66" i="5"/>
  <c r="U66" i="5"/>
  <c r="V66" i="5"/>
  <c r="X66" i="5"/>
  <c r="A67" i="5"/>
  <c r="B67" i="5"/>
  <c r="C67" i="5"/>
  <c r="D67" i="5"/>
  <c r="E67" i="5"/>
  <c r="G67" i="5"/>
  <c r="I67" i="5"/>
  <c r="J67" i="5"/>
  <c r="K67" i="5"/>
  <c r="T67" i="5"/>
  <c r="U67" i="5"/>
  <c r="V67" i="5"/>
  <c r="X67" i="5"/>
  <c r="A68" i="5"/>
  <c r="B68" i="5"/>
  <c r="C68" i="5"/>
  <c r="D68" i="5"/>
  <c r="E68" i="5"/>
  <c r="G68" i="5"/>
  <c r="I68" i="5"/>
  <c r="J68" i="5"/>
  <c r="K68" i="5"/>
  <c r="T68" i="5"/>
  <c r="U68" i="5"/>
  <c r="V68" i="5"/>
  <c r="X68" i="5"/>
  <c r="A69" i="5"/>
  <c r="B69" i="5"/>
  <c r="C69" i="5"/>
  <c r="D69" i="5"/>
  <c r="E69" i="5"/>
  <c r="G69" i="5"/>
  <c r="I69" i="5"/>
  <c r="J69" i="5"/>
  <c r="K69" i="5"/>
  <c r="T69" i="5"/>
  <c r="U69" i="5"/>
  <c r="V69" i="5"/>
  <c r="X69" i="5"/>
  <c r="A70" i="5"/>
  <c r="B70" i="5"/>
  <c r="C70" i="5"/>
  <c r="D70" i="5"/>
  <c r="E70" i="5"/>
  <c r="G70" i="5"/>
  <c r="I70" i="5"/>
  <c r="J70" i="5"/>
  <c r="K70" i="5"/>
  <c r="T70" i="5"/>
  <c r="U70" i="5"/>
  <c r="V70" i="5"/>
  <c r="X70" i="5"/>
  <c r="A71" i="5"/>
  <c r="B71" i="5"/>
  <c r="C71" i="5"/>
  <c r="D71" i="5"/>
  <c r="E71" i="5"/>
  <c r="G71" i="5"/>
  <c r="I71" i="5"/>
  <c r="J71" i="5"/>
  <c r="K71" i="5"/>
  <c r="T71" i="5"/>
  <c r="U71" i="5"/>
  <c r="V71" i="5"/>
  <c r="X71" i="5"/>
  <c r="A72" i="5"/>
  <c r="B72" i="5"/>
  <c r="C72" i="5"/>
  <c r="D72" i="5"/>
  <c r="E72" i="5"/>
  <c r="G72" i="5"/>
  <c r="I72" i="5"/>
  <c r="J72" i="5"/>
  <c r="K72" i="5"/>
  <c r="T72" i="5"/>
  <c r="U72" i="5"/>
  <c r="V72" i="5"/>
  <c r="X72" i="5"/>
  <c r="A73" i="5"/>
  <c r="B73" i="5"/>
  <c r="C73" i="5"/>
  <c r="D73" i="5"/>
  <c r="E73" i="5"/>
  <c r="G73" i="5"/>
  <c r="I73" i="5"/>
  <c r="J73" i="5"/>
  <c r="K73" i="5"/>
  <c r="T73" i="5"/>
  <c r="U73" i="5"/>
  <c r="V73" i="5"/>
  <c r="X73" i="5"/>
  <c r="A74" i="5"/>
  <c r="B74" i="5"/>
  <c r="C74" i="5"/>
  <c r="D74" i="5"/>
  <c r="E74" i="5"/>
  <c r="G74" i="5"/>
  <c r="I74" i="5"/>
  <c r="J74" i="5"/>
  <c r="K74" i="5"/>
  <c r="T74" i="5"/>
  <c r="U74" i="5"/>
  <c r="V74" i="5"/>
  <c r="X74" i="5"/>
  <c r="A75" i="5"/>
  <c r="B75" i="5"/>
  <c r="C75" i="5"/>
  <c r="D75" i="5"/>
  <c r="E75" i="5"/>
  <c r="G75" i="5"/>
  <c r="I75" i="5"/>
  <c r="J75" i="5"/>
  <c r="K75" i="5"/>
  <c r="T75" i="5"/>
  <c r="U75" i="5"/>
  <c r="V75" i="5"/>
  <c r="X75" i="5"/>
  <c r="A76" i="5"/>
  <c r="B76" i="5"/>
  <c r="C76" i="5"/>
  <c r="D76" i="5"/>
  <c r="E76" i="5"/>
  <c r="G76" i="5"/>
  <c r="I76" i="5"/>
  <c r="J76" i="5"/>
  <c r="K76" i="5"/>
  <c r="T76" i="5"/>
  <c r="U76" i="5"/>
  <c r="V76" i="5"/>
  <c r="X76" i="5"/>
  <c r="A77" i="5"/>
  <c r="B77" i="5"/>
  <c r="C77" i="5"/>
  <c r="D77" i="5"/>
  <c r="E77" i="5"/>
  <c r="G77" i="5"/>
  <c r="I77" i="5"/>
  <c r="J77" i="5"/>
  <c r="K77" i="5"/>
  <c r="T77" i="5"/>
  <c r="U77" i="5"/>
  <c r="V77" i="5"/>
  <c r="X77" i="5"/>
  <c r="A78" i="5"/>
  <c r="B78" i="5"/>
  <c r="C78" i="5"/>
  <c r="D78" i="5"/>
  <c r="E78" i="5"/>
  <c r="G78" i="5"/>
  <c r="I78" i="5"/>
  <c r="J78" i="5"/>
  <c r="K78" i="5"/>
  <c r="T78" i="5"/>
  <c r="U78" i="5"/>
  <c r="V78" i="5"/>
  <c r="X78" i="5"/>
  <c r="A79" i="5"/>
  <c r="B79" i="5"/>
  <c r="C79" i="5"/>
  <c r="D79" i="5"/>
  <c r="E79" i="5"/>
  <c r="G79" i="5"/>
  <c r="I79" i="5"/>
  <c r="J79" i="5"/>
  <c r="K79" i="5"/>
  <c r="T79" i="5"/>
  <c r="U79" i="5"/>
  <c r="V79" i="5"/>
  <c r="X79" i="5"/>
  <c r="A80" i="5"/>
  <c r="B80" i="5"/>
  <c r="C80" i="5"/>
  <c r="D80" i="5"/>
  <c r="E80" i="5"/>
  <c r="G80" i="5"/>
  <c r="I80" i="5"/>
  <c r="J80" i="5"/>
  <c r="K80" i="5"/>
  <c r="T80" i="5"/>
  <c r="U80" i="5"/>
  <c r="V80" i="5"/>
  <c r="X80" i="5"/>
  <c r="A81" i="5"/>
  <c r="B81" i="5"/>
  <c r="C81" i="5"/>
  <c r="D81" i="5"/>
  <c r="E81" i="5"/>
  <c r="G81" i="5"/>
  <c r="I81" i="5"/>
  <c r="J81" i="5"/>
  <c r="K81" i="5"/>
  <c r="T81" i="5"/>
  <c r="U81" i="5"/>
  <c r="V81" i="5"/>
  <c r="X81" i="5"/>
  <c r="A82" i="5"/>
  <c r="B82" i="5"/>
  <c r="C82" i="5"/>
  <c r="D82" i="5"/>
  <c r="E82" i="5"/>
  <c r="G82" i="5"/>
  <c r="I82" i="5"/>
  <c r="J82" i="5"/>
  <c r="K82" i="5"/>
  <c r="T82" i="5"/>
  <c r="U82" i="5"/>
  <c r="V82" i="5"/>
  <c r="X82" i="5"/>
  <c r="A83" i="5"/>
  <c r="B83" i="5"/>
  <c r="C83" i="5"/>
  <c r="D83" i="5"/>
  <c r="E83" i="5"/>
  <c r="G83" i="5"/>
  <c r="I83" i="5"/>
  <c r="J83" i="5"/>
  <c r="K83" i="5"/>
  <c r="T83" i="5"/>
  <c r="U83" i="5"/>
  <c r="V83" i="5"/>
  <c r="X83" i="5"/>
  <c r="A84" i="5"/>
  <c r="B84" i="5"/>
  <c r="C84" i="5"/>
  <c r="D84" i="5"/>
  <c r="E84" i="5"/>
  <c r="G84" i="5"/>
  <c r="I84" i="5"/>
  <c r="J84" i="5"/>
  <c r="K84" i="5"/>
  <c r="T84" i="5"/>
  <c r="U84" i="5"/>
  <c r="V84" i="5"/>
  <c r="X84" i="5"/>
  <c r="A85" i="5"/>
  <c r="B85" i="5"/>
  <c r="C85" i="5"/>
  <c r="D85" i="5"/>
  <c r="E85" i="5"/>
  <c r="G85" i="5"/>
  <c r="I85" i="5"/>
  <c r="J85" i="5"/>
  <c r="K85" i="5"/>
  <c r="T85" i="5"/>
  <c r="U85" i="5"/>
  <c r="V85" i="5"/>
  <c r="X85" i="5"/>
  <c r="A86" i="5"/>
  <c r="B86" i="5"/>
  <c r="C86" i="5"/>
  <c r="D86" i="5"/>
  <c r="E86" i="5"/>
  <c r="G86" i="5"/>
  <c r="I86" i="5"/>
  <c r="J86" i="5"/>
  <c r="K86" i="5"/>
  <c r="T86" i="5"/>
  <c r="U86" i="5"/>
  <c r="V86" i="5"/>
  <c r="X86" i="5"/>
  <c r="A87" i="5"/>
  <c r="B87" i="5"/>
  <c r="C87" i="5"/>
  <c r="D87" i="5"/>
  <c r="E87" i="5"/>
  <c r="G87" i="5"/>
  <c r="I87" i="5"/>
  <c r="J87" i="5"/>
  <c r="K87" i="5"/>
  <c r="T87" i="5"/>
  <c r="U87" i="5"/>
  <c r="V87" i="5"/>
  <c r="X87" i="5"/>
  <c r="A88" i="5"/>
  <c r="B88" i="5"/>
  <c r="C88" i="5"/>
  <c r="D88" i="5"/>
  <c r="E88" i="5"/>
  <c r="G88" i="5"/>
  <c r="I88" i="5"/>
  <c r="J88" i="5"/>
  <c r="K88" i="5"/>
  <c r="T88" i="5"/>
  <c r="U88" i="5"/>
  <c r="V88" i="5"/>
  <c r="X88" i="5"/>
  <c r="A89" i="5"/>
  <c r="B89" i="5"/>
  <c r="C89" i="5"/>
  <c r="D89" i="5"/>
  <c r="E89" i="5"/>
  <c r="G89" i="5"/>
  <c r="I89" i="5"/>
  <c r="J89" i="5"/>
  <c r="K89" i="5"/>
  <c r="T89" i="5"/>
  <c r="U89" i="5"/>
  <c r="V89" i="5"/>
  <c r="X89" i="5"/>
  <c r="A90" i="5"/>
  <c r="B90" i="5"/>
  <c r="C90" i="5"/>
  <c r="D90" i="5"/>
  <c r="E90" i="5"/>
  <c r="G90" i="5"/>
  <c r="I90" i="5"/>
  <c r="J90" i="5"/>
  <c r="K90" i="5"/>
  <c r="T90" i="5"/>
  <c r="U90" i="5"/>
  <c r="V90" i="5"/>
  <c r="X90" i="5"/>
  <c r="A91" i="5"/>
  <c r="B91" i="5"/>
  <c r="C91" i="5"/>
  <c r="D91" i="5"/>
  <c r="E91" i="5"/>
  <c r="G91" i="5"/>
  <c r="I91" i="5"/>
  <c r="J91" i="5"/>
  <c r="K91" i="5"/>
  <c r="T91" i="5"/>
  <c r="U91" i="5"/>
  <c r="V91" i="5"/>
  <c r="X91" i="5"/>
  <c r="A92" i="5"/>
  <c r="B92" i="5"/>
  <c r="C92" i="5"/>
  <c r="D92" i="5"/>
  <c r="E92" i="5"/>
  <c r="G92" i="5"/>
  <c r="I92" i="5"/>
  <c r="J92" i="5"/>
  <c r="K92" i="5"/>
  <c r="T92" i="5"/>
  <c r="U92" i="5"/>
  <c r="V92" i="5"/>
  <c r="X92" i="5"/>
  <c r="A93" i="5"/>
  <c r="B93" i="5"/>
  <c r="C93" i="5"/>
  <c r="D93" i="5"/>
  <c r="E93" i="5"/>
  <c r="G93" i="5"/>
  <c r="I93" i="5"/>
  <c r="J93" i="5"/>
  <c r="K93" i="5"/>
  <c r="T93" i="5"/>
  <c r="U93" i="5"/>
  <c r="V93" i="5"/>
  <c r="X93" i="5"/>
  <c r="A94" i="5"/>
  <c r="B94" i="5"/>
  <c r="C94" i="5"/>
  <c r="D94" i="5"/>
  <c r="E94" i="5"/>
  <c r="G94" i="5"/>
  <c r="I94" i="5"/>
  <c r="J94" i="5"/>
  <c r="K94" i="5"/>
  <c r="T94" i="5"/>
  <c r="U94" i="5"/>
  <c r="V94" i="5"/>
  <c r="X94" i="5"/>
  <c r="A95" i="5"/>
  <c r="B95" i="5"/>
  <c r="C95" i="5"/>
  <c r="D95" i="5"/>
  <c r="E95" i="5"/>
  <c r="G95" i="5"/>
  <c r="I95" i="5"/>
  <c r="J95" i="5"/>
  <c r="K95" i="5"/>
  <c r="T95" i="5"/>
  <c r="U95" i="5"/>
  <c r="V95" i="5"/>
  <c r="X95" i="5"/>
  <c r="A96" i="5"/>
  <c r="B96" i="5"/>
  <c r="C96" i="5"/>
  <c r="D96" i="5"/>
  <c r="E96" i="5"/>
  <c r="G96" i="5"/>
  <c r="I96" i="5"/>
  <c r="J96" i="5"/>
  <c r="K96" i="5"/>
  <c r="T96" i="5"/>
  <c r="U96" i="5"/>
  <c r="V96" i="5"/>
  <c r="X96" i="5"/>
  <c r="A97" i="5"/>
  <c r="B97" i="5"/>
  <c r="C97" i="5"/>
  <c r="D97" i="5"/>
  <c r="E97" i="5"/>
  <c r="G97" i="5"/>
  <c r="I97" i="5"/>
  <c r="J97" i="5"/>
  <c r="K97" i="5"/>
  <c r="T97" i="5"/>
  <c r="U97" i="5"/>
  <c r="V97" i="5"/>
  <c r="X97" i="5"/>
  <c r="A98" i="5"/>
  <c r="B98" i="5"/>
  <c r="C98" i="5"/>
  <c r="D98" i="5"/>
  <c r="E98" i="5"/>
  <c r="G98" i="5"/>
  <c r="I98" i="5"/>
  <c r="J98" i="5"/>
  <c r="K98" i="5"/>
  <c r="T98" i="5"/>
  <c r="U98" i="5"/>
  <c r="V98" i="5"/>
  <c r="X98" i="5"/>
  <c r="A99" i="5"/>
  <c r="B99" i="5"/>
  <c r="C99" i="5"/>
  <c r="D99" i="5"/>
  <c r="E99" i="5"/>
  <c r="G99" i="5"/>
  <c r="I99" i="5"/>
  <c r="J99" i="5"/>
  <c r="K99" i="5"/>
  <c r="T99" i="5"/>
  <c r="U99" i="5"/>
  <c r="V99" i="5"/>
  <c r="X99" i="5"/>
  <c r="A100" i="5"/>
  <c r="B100" i="5"/>
  <c r="C100" i="5"/>
  <c r="D100" i="5"/>
  <c r="E100" i="5"/>
  <c r="G100" i="5"/>
  <c r="I100" i="5"/>
  <c r="J100" i="5"/>
  <c r="K100" i="5"/>
  <c r="T100" i="5"/>
  <c r="U100" i="5"/>
  <c r="V100" i="5"/>
  <c r="X100" i="5"/>
  <c r="A101" i="5"/>
  <c r="B101" i="5"/>
  <c r="C101" i="5"/>
  <c r="D101" i="5"/>
  <c r="E101" i="5"/>
  <c r="G101" i="5"/>
  <c r="I101" i="5"/>
  <c r="J101" i="5"/>
  <c r="K101" i="5"/>
  <c r="T101" i="5"/>
  <c r="U101" i="5"/>
  <c r="V101" i="5"/>
  <c r="X101" i="5"/>
  <c r="A41" i="7"/>
  <c r="B41" i="7"/>
  <c r="A42" i="7"/>
  <c r="B42" i="7"/>
  <c r="A43" i="7"/>
  <c r="D43" i="7" s="1"/>
  <c r="B43" i="7"/>
  <c r="A44" i="7"/>
  <c r="D44" i="7" s="1"/>
  <c r="B44" i="7"/>
  <c r="A45" i="7"/>
  <c r="D45" i="7" s="1"/>
  <c r="B45" i="7"/>
  <c r="A46" i="7"/>
  <c r="D46" i="7" s="1"/>
  <c r="B46" i="7"/>
  <c r="A47" i="7"/>
  <c r="D47" i="7" s="1"/>
  <c r="B47" i="7"/>
  <c r="A48" i="7"/>
  <c r="D48" i="7" s="1"/>
  <c r="B48" i="7"/>
  <c r="A49" i="7"/>
  <c r="D49" i="7" s="1"/>
  <c r="B49" i="7"/>
  <c r="A50" i="7"/>
  <c r="D50" i="7" s="1"/>
  <c r="B50" i="7"/>
  <c r="A51" i="7"/>
  <c r="D51" i="7" s="1"/>
  <c r="B51" i="7"/>
  <c r="A52" i="7"/>
  <c r="D52" i="7" s="1"/>
  <c r="B52" i="7"/>
  <c r="A53" i="7"/>
  <c r="D53" i="7" s="1"/>
  <c r="B53" i="7"/>
  <c r="A54" i="7"/>
  <c r="D54" i="7" s="1"/>
  <c r="B54" i="7"/>
  <c r="A55" i="7"/>
  <c r="D55" i="7" s="1"/>
  <c r="B55" i="7"/>
  <c r="A56" i="7"/>
  <c r="D56" i="7" s="1"/>
  <c r="B56" i="7"/>
  <c r="A57" i="7"/>
  <c r="D57" i="7" s="1"/>
  <c r="B57" i="7"/>
  <c r="A58" i="7"/>
  <c r="D58" i="7" s="1"/>
  <c r="B58" i="7"/>
  <c r="A59" i="7"/>
  <c r="D59" i="7" s="1"/>
  <c r="B59" i="7"/>
  <c r="A60" i="7"/>
  <c r="D60" i="7" s="1"/>
  <c r="B60" i="7"/>
  <c r="A61" i="7"/>
  <c r="D61" i="7" s="1"/>
  <c r="B61" i="7"/>
  <c r="A62" i="7"/>
  <c r="D62" i="7" s="1"/>
  <c r="B62" i="7"/>
  <c r="A63" i="7"/>
  <c r="D63" i="7" s="1"/>
  <c r="B63" i="7"/>
  <c r="A64" i="7"/>
  <c r="D64" i="7" s="1"/>
  <c r="B64" i="7"/>
  <c r="A65" i="7"/>
  <c r="D65" i="7" s="1"/>
  <c r="B65" i="7"/>
  <c r="A66" i="7"/>
  <c r="D66" i="7" s="1"/>
  <c r="B66" i="7"/>
  <c r="A67" i="7"/>
  <c r="D67" i="7" s="1"/>
  <c r="B67" i="7"/>
  <c r="A68" i="7"/>
  <c r="D68" i="7" s="1"/>
  <c r="B68" i="7"/>
  <c r="A69" i="7"/>
  <c r="D69" i="7" s="1"/>
  <c r="B69" i="7"/>
  <c r="A70" i="7"/>
  <c r="D70" i="7" s="1"/>
  <c r="B70" i="7"/>
  <c r="A71" i="7"/>
  <c r="D71" i="7" s="1"/>
  <c r="B71" i="7"/>
  <c r="A72" i="7"/>
  <c r="D72" i="7" s="1"/>
  <c r="B72" i="7"/>
  <c r="A73" i="7"/>
  <c r="D73" i="7" s="1"/>
  <c r="B73" i="7"/>
  <c r="A74" i="7"/>
  <c r="D74" i="7" s="1"/>
  <c r="B74" i="7"/>
  <c r="A75" i="7"/>
  <c r="D75" i="7" s="1"/>
  <c r="B75" i="7"/>
  <c r="A76" i="7"/>
  <c r="D76" i="7" s="1"/>
  <c r="B76" i="7"/>
  <c r="A77" i="7"/>
  <c r="D77" i="7" s="1"/>
  <c r="B77" i="7"/>
  <c r="A78" i="7"/>
  <c r="D78" i="7" s="1"/>
  <c r="B78" i="7"/>
  <c r="A79" i="7"/>
  <c r="D79" i="7" s="1"/>
  <c r="B79" i="7"/>
  <c r="A80" i="7"/>
  <c r="D80" i="7" s="1"/>
  <c r="B80" i="7"/>
  <c r="A81" i="7"/>
  <c r="D81" i="7" s="1"/>
  <c r="B81" i="7"/>
  <c r="A82" i="7"/>
  <c r="D82" i="7" s="1"/>
  <c r="B82" i="7"/>
  <c r="A83" i="7"/>
  <c r="D83" i="7" s="1"/>
  <c r="B83" i="7"/>
  <c r="A84" i="7"/>
  <c r="D84" i="7" s="1"/>
  <c r="B84" i="7"/>
  <c r="A85" i="7"/>
  <c r="D85" i="7" s="1"/>
  <c r="B85" i="7"/>
  <c r="A86" i="7"/>
  <c r="D86" i="7" s="1"/>
  <c r="B86" i="7"/>
  <c r="A87" i="7"/>
  <c r="D87" i="7" s="1"/>
  <c r="B87" i="7"/>
  <c r="A88" i="7"/>
  <c r="D88" i="7" s="1"/>
  <c r="B88" i="7"/>
  <c r="A89" i="7"/>
  <c r="D89" i="7" s="1"/>
  <c r="B89" i="7"/>
  <c r="A90" i="7"/>
  <c r="D90" i="7" s="1"/>
  <c r="B90" i="7"/>
  <c r="A91" i="7"/>
  <c r="D91" i="7" s="1"/>
  <c r="B91" i="7"/>
  <c r="A92" i="7"/>
  <c r="D92" i="7" s="1"/>
  <c r="B92" i="7"/>
  <c r="A93" i="7"/>
  <c r="D93" i="7" s="1"/>
  <c r="B93" i="7"/>
  <c r="A94" i="7"/>
  <c r="D94" i="7" s="1"/>
  <c r="B94" i="7"/>
  <c r="A95" i="7"/>
  <c r="D95" i="7" s="1"/>
  <c r="B95" i="7"/>
  <c r="A96" i="7"/>
  <c r="D96" i="7" s="1"/>
  <c r="B96" i="7"/>
  <c r="A97" i="7"/>
  <c r="D97" i="7" s="1"/>
  <c r="B97" i="7"/>
  <c r="A98" i="7"/>
  <c r="B98" i="7"/>
  <c r="A99" i="7"/>
  <c r="D99" i="7" s="1"/>
  <c r="B99" i="7"/>
  <c r="A100" i="7"/>
  <c r="D100" i="7" s="1"/>
  <c r="B100" i="7"/>
  <c r="A101" i="7"/>
  <c r="D101" i="7" s="1"/>
  <c r="B101" i="7"/>
  <c r="A102" i="7"/>
  <c r="D102" i="7" s="1"/>
  <c r="B102" i="7"/>
  <c r="A103" i="7"/>
  <c r="D103" i="7" s="1"/>
  <c r="B103" i="7"/>
  <c r="A104" i="7"/>
  <c r="D104" i="7" s="1"/>
  <c r="B104" i="7"/>
  <c r="A105" i="7"/>
  <c r="D105" i="7" s="1"/>
  <c r="B105" i="7"/>
  <c r="A106" i="7"/>
  <c r="B106" i="7"/>
  <c r="A107" i="4"/>
  <c r="B107" i="4"/>
  <c r="C107" i="4"/>
  <c r="D107" i="4"/>
  <c r="E107" i="4"/>
  <c r="F107" i="4"/>
  <c r="G107" i="4"/>
  <c r="I107" i="4"/>
  <c r="J107" i="4"/>
  <c r="K107" i="4"/>
  <c r="A42" i="4"/>
  <c r="B42" i="4"/>
  <c r="C42" i="4"/>
  <c r="D42" i="4"/>
  <c r="E42" i="4"/>
  <c r="F42" i="4"/>
  <c r="G42" i="4"/>
  <c r="I42" i="4"/>
  <c r="J42" i="4"/>
  <c r="K42" i="4"/>
  <c r="A43" i="4"/>
  <c r="B43" i="4"/>
  <c r="C43" i="4"/>
  <c r="D43" i="4"/>
  <c r="E43" i="4"/>
  <c r="F43" i="4"/>
  <c r="G43" i="4"/>
  <c r="I43" i="4"/>
  <c r="J43" i="4"/>
  <c r="K43" i="4"/>
  <c r="A44" i="4"/>
  <c r="B44" i="4"/>
  <c r="L44" i="4" s="1"/>
  <c r="C44" i="4"/>
  <c r="D44" i="4"/>
  <c r="E44" i="4"/>
  <c r="F44" i="4"/>
  <c r="G44" i="4"/>
  <c r="I44" i="4"/>
  <c r="J44" i="4"/>
  <c r="K44" i="4"/>
  <c r="A45" i="4"/>
  <c r="B45" i="4"/>
  <c r="L45" i="4" s="1"/>
  <c r="C45" i="4"/>
  <c r="D45" i="4"/>
  <c r="E45" i="4"/>
  <c r="F45" i="4"/>
  <c r="G45" i="4"/>
  <c r="I45" i="4"/>
  <c r="J45" i="4"/>
  <c r="K45" i="4"/>
  <c r="A46" i="4"/>
  <c r="B46" i="4"/>
  <c r="L46" i="4" s="1"/>
  <c r="C46" i="4"/>
  <c r="D46" i="4"/>
  <c r="E46" i="4"/>
  <c r="F46" i="4"/>
  <c r="G46" i="4"/>
  <c r="I46" i="4"/>
  <c r="J46" i="4"/>
  <c r="K46" i="4"/>
  <c r="A47" i="4"/>
  <c r="B47" i="4"/>
  <c r="L47" i="4" s="1"/>
  <c r="C47" i="4"/>
  <c r="D47" i="4"/>
  <c r="E47" i="4"/>
  <c r="F47" i="4"/>
  <c r="G47" i="4"/>
  <c r="I47" i="4"/>
  <c r="J47" i="4"/>
  <c r="K47" i="4"/>
  <c r="A48" i="4"/>
  <c r="B48" i="4"/>
  <c r="L48" i="4" s="1"/>
  <c r="C48" i="4"/>
  <c r="D48" i="4"/>
  <c r="E48" i="4"/>
  <c r="F48" i="4"/>
  <c r="G48" i="4"/>
  <c r="I48" i="4"/>
  <c r="J48" i="4"/>
  <c r="K48" i="4"/>
  <c r="A49" i="4"/>
  <c r="B49" i="4"/>
  <c r="L49" i="4" s="1"/>
  <c r="C49" i="4"/>
  <c r="D49" i="4"/>
  <c r="E49" i="4"/>
  <c r="F49" i="4"/>
  <c r="G49" i="4"/>
  <c r="I49" i="4"/>
  <c r="J49" i="4"/>
  <c r="K49" i="4"/>
  <c r="A50" i="4"/>
  <c r="B50" i="4"/>
  <c r="L50" i="4" s="1"/>
  <c r="C50" i="4"/>
  <c r="D50" i="4"/>
  <c r="E50" i="4"/>
  <c r="F50" i="4"/>
  <c r="G50" i="4"/>
  <c r="I50" i="4"/>
  <c r="J50" i="4"/>
  <c r="K50" i="4"/>
  <c r="A51" i="4"/>
  <c r="B51" i="4"/>
  <c r="L51" i="4" s="1"/>
  <c r="C51" i="4"/>
  <c r="D51" i="4"/>
  <c r="E51" i="4"/>
  <c r="F51" i="4"/>
  <c r="G51" i="4"/>
  <c r="I51" i="4"/>
  <c r="J51" i="4"/>
  <c r="K51" i="4"/>
  <c r="A52" i="4"/>
  <c r="B52" i="4"/>
  <c r="L52" i="4" s="1"/>
  <c r="C52" i="4"/>
  <c r="D52" i="4"/>
  <c r="E52" i="4"/>
  <c r="F52" i="4"/>
  <c r="G52" i="4"/>
  <c r="I52" i="4"/>
  <c r="J52" i="4"/>
  <c r="K52" i="4"/>
  <c r="A53" i="4"/>
  <c r="B53" i="4"/>
  <c r="L53" i="4" s="1"/>
  <c r="C53" i="4"/>
  <c r="D53" i="4"/>
  <c r="E53" i="4"/>
  <c r="F53" i="4"/>
  <c r="G53" i="4"/>
  <c r="I53" i="4"/>
  <c r="J53" i="4"/>
  <c r="K53" i="4"/>
  <c r="A54" i="4"/>
  <c r="B54" i="4"/>
  <c r="L54" i="4" s="1"/>
  <c r="C54" i="4"/>
  <c r="D54" i="4"/>
  <c r="E54" i="4"/>
  <c r="F54" i="4"/>
  <c r="G54" i="4"/>
  <c r="I54" i="4"/>
  <c r="J54" i="4"/>
  <c r="K54" i="4"/>
  <c r="A55" i="4"/>
  <c r="B55" i="4"/>
  <c r="L55" i="4" s="1"/>
  <c r="C55" i="4"/>
  <c r="D55" i="4"/>
  <c r="E55" i="4"/>
  <c r="F55" i="4"/>
  <c r="G55" i="4"/>
  <c r="I55" i="4"/>
  <c r="J55" i="4"/>
  <c r="K55" i="4"/>
  <c r="A56" i="4"/>
  <c r="B56" i="4"/>
  <c r="L56" i="4" s="1"/>
  <c r="C56" i="4"/>
  <c r="D56" i="4"/>
  <c r="E56" i="4"/>
  <c r="F56" i="4"/>
  <c r="G56" i="4"/>
  <c r="I56" i="4"/>
  <c r="J56" i="4"/>
  <c r="K56" i="4"/>
  <c r="A57" i="4"/>
  <c r="B57" i="4"/>
  <c r="L57" i="4" s="1"/>
  <c r="C57" i="4"/>
  <c r="D57" i="4"/>
  <c r="E57" i="4"/>
  <c r="F57" i="4"/>
  <c r="G57" i="4"/>
  <c r="I57" i="4"/>
  <c r="J57" i="4"/>
  <c r="K57" i="4"/>
  <c r="A58" i="4"/>
  <c r="B58" i="4"/>
  <c r="L58" i="4" s="1"/>
  <c r="C58" i="4"/>
  <c r="D58" i="4"/>
  <c r="E58" i="4"/>
  <c r="F58" i="4"/>
  <c r="G58" i="4"/>
  <c r="I58" i="4"/>
  <c r="J58" i="4"/>
  <c r="K58" i="4"/>
  <c r="A59" i="4"/>
  <c r="B59" i="4"/>
  <c r="L59" i="4" s="1"/>
  <c r="C59" i="4"/>
  <c r="D59" i="4"/>
  <c r="E59" i="4"/>
  <c r="F59" i="4"/>
  <c r="G59" i="4"/>
  <c r="I59" i="4"/>
  <c r="J59" i="4"/>
  <c r="K59" i="4"/>
  <c r="A60" i="4"/>
  <c r="B60" i="4"/>
  <c r="L60" i="4" s="1"/>
  <c r="C60" i="4"/>
  <c r="D60" i="4"/>
  <c r="E60" i="4"/>
  <c r="F60" i="4"/>
  <c r="G60" i="4"/>
  <c r="I60" i="4"/>
  <c r="J60" i="4"/>
  <c r="K60" i="4"/>
  <c r="A61" i="4"/>
  <c r="B61" i="4"/>
  <c r="L61" i="4" s="1"/>
  <c r="C61" i="4"/>
  <c r="D61" i="4"/>
  <c r="E61" i="4"/>
  <c r="F61" i="4"/>
  <c r="G61" i="4"/>
  <c r="I61" i="4"/>
  <c r="J61" i="4"/>
  <c r="K61" i="4"/>
  <c r="A62" i="4"/>
  <c r="B62" i="4"/>
  <c r="L62" i="4" s="1"/>
  <c r="C62" i="4"/>
  <c r="D62" i="4"/>
  <c r="E62" i="4"/>
  <c r="F62" i="4"/>
  <c r="G62" i="4"/>
  <c r="I62" i="4"/>
  <c r="J62" i="4"/>
  <c r="K62" i="4"/>
  <c r="A63" i="4"/>
  <c r="B63" i="4"/>
  <c r="L63" i="4" s="1"/>
  <c r="C63" i="4"/>
  <c r="D63" i="4"/>
  <c r="E63" i="4"/>
  <c r="F63" i="4"/>
  <c r="G63" i="4"/>
  <c r="I63" i="4"/>
  <c r="J63" i="4"/>
  <c r="K63" i="4"/>
  <c r="A64" i="4"/>
  <c r="B64" i="4"/>
  <c r="L64" i="4" s="1"/>
  <c r="C64" i="4"/>
  <c r="D64" i="4"/>
  <c r="E64" i="4"/>
  <c r="F64" i="4"/>
  <c r="G64" i="4"/>
  <c r="I64" i="4"/>
  <c r="J64" i="4"/>
  <c r="K64" i="4"/>
  <c r="A65" i="4"/>
  <c r="B65" i="4"/>
  <c r="L65" i="4" s="1"/>
  <c r="C65" i="4"/>
  <c r="D65" i="4"/>
  <c r="E65" i="4"/>
  <c r="F65" i="4"/>
  <c r="G65" i="4"/>
  <c r="I65" i="4"/>
  <c r="J65" i="4"/>
  <c r="K65" i="4"/>
  <c r="A66" i="4"/>
  <c r="B66" i="4"/>
  <c r="L66" i="4" s="1"/>
  <c r="C66" i="4"/>
  <c r="D66" i="4"/>
  <c r="E66" i="4"/>
  <c r="F66" i="4"/>
  <c r="G66" i="4"/>
  <c r="I66" i="4"/>
  <c r="J66" i="4"/>
  <c r="K66" i="4"/>
  <c r="A67" i="4"/>
  <c r="B67" i="4"/>
  <c r="L67" i="4" s="1"/>
  <c r="C67" i="4"/>
  <c r="D67" i="4"/>
  <c r="E67" i="4"/>
  <c r="F67" i="4"/>
  <c r="G67" i="4"/>
  <c r="I67" i="4"/>
  <c r="J67" i="4"/>
  <c r="K67" i="4"/>
  <c r="A68" i="4"/>
  <c r="B68" i="4"/>
  <c r="L68" i="4" s="1"/>
  <c r="C68" i="4"/>
  <c r="D68" i="4"/>
  <c r="E68" i="4"/>
  <c r="F68" i="4"/>
  <c r="G68" i="4"/>
  <c r="I68" i="4"/>
  <c r="J68" i="4"/>
  <c r="K68" i="4"/>
  <c r="A69" i="4"/>
  <c r="B69" i="4"/>
  <c r="L69" i="4" s="1"/>
  <c r="C69" i="4"/>
  <c r="D69" i="4"/>
  <c r="E69" i="4"/>
  <c r="F69" i="4"/>
  <c r="G69" i="4"/>
  <c r="I69" i="4"/>
  <c r="J69" i="4"/>
  <c r="K69" i="4"/>
  <c r="A70" i="4"/>
  <c r="B70" i="4"/>
  <c r="L70" i="4" s="1"/>
  <c r="C70" i="4"/>
  <c r="D70" i="4"/>
  <c r="E70" i="4"/>
  <c r="F70" i="4"/>
  <c r="G70" i="4"/>
  <c r="I70" i="4"/>
  <c r="J70" i="4"/>
  <c r="K70" i="4"/>
  <c r="A71" i="4"/>
  <c r="B71" i="4"/>
  <c r="L71" i="4" s="1"/>
  <c r="C71" i="4"/>
  <c r="D71" i="4"/>
  <c r="E71" i="4"/>
  <c r="F71" i="4"/>
  <c r="G71" i="4"/>
  <c r="I71" i="4"/>
  <c r="J71" i="4"/>
  <c r="K71" i="4"/>
  <c r="A72" i="4"/>
  <c r="B72" i="4"/>
  <c r="L72" i="4" s="1"/>
  <c r="C72" i="4"/>
  <c r="D72" i="4"/>
  <c r="E72" i="4"/>
  <c r="F72" i="4"/>
  <c r="G72" i="4"/>
  <c r="I72" i="4"/>
  <c r="J72" i="4"/>
  <c r="K72" i="4"/>
  <c r="A73" i="4"/>
  <c r="B73" i="4"/>
  <c r="L73" i="4" s="1"/>
  <c r="C73" i="4"/>
  <c r="D73" i="4"/>
  <c r="E73" i="4"/>
  <c r="F73" i="4"/>
  <c r="G73" i="4"/>
  <c r="I73" i="4"/>
  <c r="J73" i="4"/>
  <c r="K73" i="4"/>
  <c r="A74" i="4"/>
  <c r="B74" i="4"/>
  <c r="L74" i="4" s="1"/>
  <c r="C74" i="4"/>
  <c r="D74" i="4"/>
  <c r="E74" i="4"/>
  <c r="F74" i="4"/>
  <c r="G74" i="4"/>
  <c r="I74" i="4"/>
  <c r="J74" i="4"/>
  <c r="K74" i="4"/>
  <c r="A75" i="4"/>
  <c r="B75" i="4"/>
  <c r="L75" i="4" s="1"/>
  <c r="C75" i="4"/>
  <c r="D75" i="4"/>
  <c r="E75" i="4"/>
  <c r="F75" i="4"/>
  <c r="G75" i="4"/>
  <c r="I75" i="4"/>
  <c r="J75" i="4"/>
  <c r="K75" i="4"/>
  <c r="A76" i="4"/>
  <c r="B76" i="4"/>
  <c r="L76" i="4" s="1"/>
  <c r="C76" i="4"/>
  <c r="D76" i="4"/>
  <c r="E76" i="4"/>
  <c r="F76" i="4"/>
  <c r="G76" i="4"/>
  <c r="I76" i="4"/>
  <c r="J76" i="4"/>
  <c r="K76" i="4"/>
  <c r="A77" i="4"/>
  <c r="B77" i="4"/>
  <c r="L77" i="4" s="1"/>
  <c r="C77" i="4"/>
  <c r="D77" i="4"/>
  <c r="E77" i="4"/>
  <c r="F77" i="4"/>
  <c r="G77" i="4"/>
  <c r="I77" i="4"/>
  <c r="J77" i="4"/>
  <c r="K77" i="4"/>
  <c r="A78" i="4"/>
  <c r="B78" i="4"/>
  <c r="L78" i="4" s="1"/>
  <c r="C78" i="4"/>
  <c r="D78" i="4"/>
  <c r="E78" i="4"/>
  <c r="F78" i="4"/>
  <c r="G78" i="4"/>
  <c r="I78" i="4"/>
  <c r="J78" i="4"/>
  <c r="K78" i="4"/>
  <c r="A79" i="4"/>
  <c r="B79" i="4"/>
  <c r="L79" i="4" s="1"/>
  <c r="C79" i="4"/>
  <c r="D79" i="4"/>
  <c r="E79" i="4"/>
  <c r="F79" i="4"/>
  <c r="G79" i="4"/>
  <c r="I79" i="4"/>
  <c r="J79" i="4"/>
  <c r="K79" i="4"/>
  <c r="A80" i="4"/>
  <c r="B80" i="4"/>
  <c r="L80" i="4" s="1"/>
  <c r="C80" i="4"/>
  <c r="D80" i="4"/>
  <c r="E80" i="4"/>
  <c r="F80" i="4"/>
  <c r="G80" i="4"/>
  <c r="I80" i="4"/>
  <c r="J80" i="4"/>
  <c r="K80" i="4"/>
  <c r="A81" i="4"/>
  <c r="B81" i="4"/>
  <c r="L81" i="4" s="1"/>
  <c r="C81" i="4"/>
  <c r="D81" i="4"/>
  <c r="E81" i="4"/>
  <c r="F81" i="4"/>
  <c r="G81" i="4"/>
  <c r="I81" i="4"/>
  <c r="J81" i="4"/>
  <c r="K81" i="4"/>
  <c r="A82" i="4"/>
  <c r="B82" i="4"/>
  <c r="L82" i="4" s="1"/>
  <c r="C82" i="4"/>
  <c r="D82" i="4"/>
  <c r="E82" i="4"/>
  <c r="F82" i="4"/>
  <c r="G82" i="4"/>
  <c r="I82" i="4"/>
  <c r="J82" i="4"/>
  <c r="K82" i="4"/>
  <c r="A83" i="4"/>
  <c r="B83" i="4"/>
  <c r="L83" i="4" s="1"/>
  <c r="C83" i="4"/>
  <c r="D83" i="4"/>
  <c r="E83" i="4"/>
  <c r="F83" i="4"/>
  <c r="G83" i="4"/>
  <c r="I83" i="4"/>
  <c r="J83" i="4"/>
  <c r="K83" i="4"/>
  <c r="A84" i="4"/>
  <c r="B84" i="4"/>
  <c r="L84" i="4" s="1"/>
  <c r="C84" i="4"/>
  <c r="D84" i="4"/>
  <c r="E84" i="4"/>
  <c r="F84" i="4"/>
  <c r="G84" i="4"/>
  <c r="I84" i="4"/>
  <c r="J84" i="4"/>
  <c r="K84" i="4"/>
  <c r="A85" i="4"/>
  <c r="B85" i="4"/>
  <c r="L85" i="4" s="1"/>
  <c r="C85" i="4"/>
  <c r="D85" i="4"/>
  <c r="E85" i="4"/>
  <c r="F85" i="4"/>
  <c r="G85" i="4"/>
  <c r="I85" i="4"/>
  <c r="J85" i="4"/>
  <c r="K85" i="4"/>
  <c r="A86" i="4"/>
  <c r="B86" i="4"/>
  <c r="L86" i="4" s="1"/>
  <c r="C86" i="4"/>
  <c r="D86" i="4"/>
  <c r="E86" i="4"/>
  <c r="F86" i="4"/>
  <c r="G86" i="4"/>
  <c r="I86" i="4"/>
  <c r="J86" i="4"/>
  <c r="K86" i="4"/>
  <c r="A87" i="4"/>
  <c r="B87" i="4"/>
  <c r="L87" i="4" s="1"/>
  <c r="C87" i="4"/>
  <c r="D87" i="4"/>
  <c r="E87" i="4"/>
  <c r="F87" i="4"/>
  <c r="G87" i="4"/>
  <c r="I87" i="4"/>
  <c r="J87" i="4"/>
  <c r="K87" i="4"/>
  <c r="A88" i="4"/>
  <c r="B88" i="4"/>
  <c r="L88" i="4" s="1"/>
  <c r="C88" i="4"/>
  <c r="D88" i="4"/>
  <c r="E88" i="4"/>
  <c r="F88" i="4"/>
  <c r="G88" i="4"/>
  <c r="I88" i="4"/>
  <c r="J88" i="4"/>
  <c r="K88" i="4"/>
  <c r="A89" i="4"/>
  <c r="B89" i="4"/>
  <c r="L89" i="4" s="1"/>
  <c r="C89" i="4"/>
  <c r="D89" i="4"/>
  <c r="E89" i="4"/>
  <c r="F89" i="4"/>
  <c r="G89" i="4"/>
  <c r="I89" i="4"/>
  <c r="J89" i="4"/>
  <c r="K89" i="4"/>
  <c r="A90" i="4"/>
  <c r="B90" i="4"/>
  <c r="L90" i="4" s="1"/>
  <c r="C90" i="4"/>
  <c r="D90" i="4"/>
  <c r="E90" i="4"/>
  <c r="F90" i="4"/>
  <c r="G90" i="4"/>
  <c r="I90" i="4"/>
  <c r="J90" i="4"/>
  <c r="K90" i="4"/>
  <c r="A91" i="4"/>
  <c r="B91" i="4"/>
  <c r="L91" i="4" s="1"/>
  <c r="C91" i="4"/>
  <c r="D91" i="4"/>
  <c r="E91" i="4"/>
  <c r="F91" i="4"/>
  <c r="G91" i="4"/>
  <c r="I91" i="4"/>
  <c r="J91" i="4"/>
  <c r="K91" i="4"/>
  <c r="A92" i="4"/>
  <c r="B92" i="4"/>
  <c r="L92" i="4" s="1"/>
  <c r="C92" i="4"/>
  <c r="D92" i="4"/>
  <c r="E92" i="4"/>
  <c r="F92" i="4"/>
  <c r="G92" i="4"/>
  <c r="I92" i="4"/>
  <c r="J92" i="4"/>
  <c r="K92" i="4"/>
  <c r="A93" i="4"/>
  <c r="B93" i="4"/>
  <c r="L93" i="4" s="1"/>
  <c r="C93" i="4"/>
  <c r="D93" i="4"/>
  <c r="E93" i="4"/>
  <c r="F93" i="4"/>
  <c r="G93" i="4"/>
  <c r="I93" i="4"/>
  <c r="J93" i="4"/>
  <c r="K93" i="4"/>
  <c r="A94" i="4"/>
  <c r="B94" i="4"/>
  <c r="L94" i="4" s="1"/>
  <c r="C94" i="4"/>
  <c r="D94" i="4"/>
  <c r="E94" i="4"/>
  <c r="F94" i="4"/>
  <c r="G94" i="4"/>
  <c r="I94" i="4"/>
  <c r="J94" i="4"/>
  <c r="K94" i="4"/>
  <c r="A95" i="4"/>
  <c r="B95" i="4"/>
  <c r="L95" i="4" s="1"/>
  <c r="C95" i="4"/>
  <c r="D95" i="4"/>
  <c r="E95" i="4"/>
  <c r="F95" i="4"/>
  <c r="G95" i="4"/>
  <c r="I95" i="4"/>
  <c r="J95" i="4"/>
  <c r="K95" i="4"/>
  <c r="A96" i="4"/>
  <c r="B96" i="4"/>
  <c r="L96" i="4" s="1"/>
  <c r="C96" i="4"/>
  <c r="D96" i="4"/>
  <c r="E96" i="4"/>
  <c r="F96" i="4"/>
  <c r="G96" i="4"/>
  <c r="I96" i="4"/>
  <c r="J96" i="4"/>
  <c r="K96" i="4"/>
  <c r="A97" i="4"/>
  <c r="B97" i="4"/>
  <c r="L97" i="4" s="1"/>
  <c r="C97" i="4"/>
  <c r="D97" i="4"/>
  <c r="E97" i="4"/>
  <c r="F97" i="4"/>
  <c r="G97" i="4"/>
  <c r="I97" i="4"/>
  <c r="J97" i="4"/>
  <c r="K97" i="4"/>
  <c r="A98" i="4"/>
  <c r="B98" i="4"/>
  <c r="L98" i="4" s="1"/>
  <c r="C98" i="4"/>
  <c r="D98" i="4"/>
  <c r="E98" i="4"/>
  <c r="F98" i="4"/>
  <c r="G98" i="4"/>
  <c r="I98" i="4"/>
  <c r="J98" i="4"/>
  <c r="K98" i="4"/>
  <c r="A99" i="4"/>
  <c r="B99" i="4"/>
  <c r="C99" i="4"/>
  <c r="D99" i="4"/>
  <c r="E99" i="4"/>
  <c r="F99" i="4"/>
  <c r="G99" i="4"/>
  <c r="I99" i="4"/>
  <c r="J99" i="4"/>
  <c r="K99" i="4"/>
  <c r="A100" i="4"/>
  <c r="B100" i="4"/>
  <c r="L100" i="4" s="1"/>
  <c r="C100" i="4"/>
  <c r="D100" i="4"/>
  <c r="E100" i="4"/>
  <c r="F100" i="4"/>
  <c r="G100" i="4"/>
  <c r="I100" i="4"/>
  <c r="J100" i="4"/>
  <c r="K100" i="4"/>
  <c r="A101" i="4"/>
  <c r="B101" i="4"/>
  <c r="L101" i="4" s="1"/>
  <c r="C101" i="4"/>
  <c r="D101" i="4"/>
  <c r="E101" i="4"/>
  <c r="F101" i="4"/>
  <c r="G101" i="4"/>
  <c r="I101" i="4"/>
  <c r="J101" i="4"/>
  <c r="K101" i="4"/>
  <c r="A102" i="4"/>
  <c r="B102" i="4"/>
  <c r="L102" i="4" s="1"/>
  <c r="C102" i="4"/>
  <c r="D102" i="4"/>
  <c r="E102" i="4"/>
  <c r="F102" i="4"/>
  <c r="G102" i="4"/>
  <c r="I102" i="4"/>
  <c r="J102" i="4"/>
  <c r="K102" i="4"/>
  <c r="A103" i="4"/>
  <c r="B103" i="4"/>
  <c r="L103" i="4" s="1"/>
  <c r="C103" i="4"/>
  <c r="D103" i="4"/>
  <c r="E103" i="4"/>
  <c r="F103" i="4"/>
  <c r="G103" i="4"/>
  <c r="I103" i="4"/>
  <c r="J103" i="4"/>
  <c r="K103" i="4"/>
  <c r="A104" i="4"/>
  <c r="B104" i="4"/>
  <c r="L104" i="4" s="1"/>
  <c r="C104" i="4"/>
  <c r="D104" i="4"/>
  <c r="E104" i="4"/>
  <c r="F104" i="4"/>
  <c r="G104" i="4"/>
  <c r="I104" i="4"/>
  <c r="J104" i="4"/>
  <c r="K104" i="4"/>
  <c r="A105" i="4"/>
  <c r="B105" i="4"/>
  <c r="L105" i="4" s="1"/>
  <c r="C105" i="4"/>
  <c r="D105" i="4"/>
  <c r="E105" i="4"/>
  <c r="F105" i="4"/>
  <c r="G105" i="4"/>
  <c r="I105" i="4"/>
  <c r="J105" i="4"/>
  <c r="K105" i="4"/>
  <c r="A106" i="4"/>
  <c r="B106" i="4"/>
  <c r="L106" i="4" s="1"/>
  <c r="C106" i="4"/>
  <c r="D106" i="4"/>
  <c r="E106" i="4"/>
  <c r="F106" i="4"/>
  <c r="G106" i="4"/>
  <c r="I106" i="4"/>
  <c r="J106" i="4"/>
  <c r="K106" i="4"/>
  <c r="A37" i="3"/>
  <c r="B37" i="3"/>
  <c r="C37" i="3"/>
  <c r="D37" i="3"/>
  <c r="F37" i="3"/>
  <c r="G37" i="3"/>
  <c r="X37" i="3" s="1"/>
  <c r="H37" i="3"/>
  <c r="I37" i="3"/>
  <c r="J37" i="3"/>
  <c r="K37" i="3"/>
  <c r="L37" i="3"/>
  <c r="P37" i="3" s="1"/>
  <c r="M37" i="3"/>
  <c r="N37" i="3"/>
  <c r="O37" i="3"/>
  <c r="S37" i="3"/>
  <c r="T37" i="3"/>
  <c r="W37" i="3"/>
  <c r="A38" i="3"/>
  <c r="B38" i="3"/>
  <c r="C38" i="3"/>
  <c r="D38" i="3"/>
  <c r="E38" i="3"/>
  <c r="F38" i="3"/>
  <c r="G38" i="3"/>
  <c r="X38" i="3" s="1"/>
  <c r="H38" i="3"/>
  <c r="I38" i="3"/>
  <c r="J38" i="3"/>
  <c r="K38" i="3"/>
  <c r="L38" i="3"/>
  <c r="P38" i="3" s="1"/>
  <c r="M38" i="3"/>
  <c r="N38" i="3"/>
  <c r="O38" i="3"/>
  <c r="Q38" i="3"/>
  <c r="R38" i="3"/>
  <c r="S38" i="3"/>
  <c r="T38" i="3"/>
  <c r="W38" i="3"/>
  <c r="A39" i="3"/>
  <c r="B39" i="3"/>
  <c r="C39" i="3"/>
  <c r="D39" i="3"/>
  <c r="E39" i="3"/>
  <c r="F39" i="3"/>
  <c r="G39" i="3"/>
  <c r="X39" i="3" s="1"/>
  <c r="H39" i="3"/>
  <c r="I39" i="3"/>
  <c r="J39" i="3"/>
  <c r="K39" i="3"/>
  <c r="L39" i="3"/>
  <c r="P39" i="3" s="1"/>
  <c r="M39" i="3"/>
  <c r="N39" i="3"/>
  <c r="O39" i="3"/>
  <c r="Q39" i="3"/>
  <c r="R39" i="3"/>
  <c r="S39" i="3"/>
  <c r="T39" i="3"/>
  <c r="W39" i="3"/>
  <c r="A40" i="3"/>
  <c r="B40" i="3"/>
  <c r="C40" i="3"/>
  <c r="D40" i="3"/>
  <c r="E40" i="3"/>
  <c r="F40" i="3"/>
  <c r="G40" i="3"/>
  <c r="X40" i="3" s="1"/>
  <c r="H40" i="3"/>
  <c r="I40" i="3"/>
  <c r="J40" i="3"/>
  <c r="K40" i="3"/>
  <c r="L40" i="3"/>
  <c r="P40" i="3" s="1"/>
  <c r="M40" i="3"/>
  <c r="N40" i="3"/>
  <c r="O40" i="3"/>
  <c r="Q40" i="3"/>
  <c r="R40" i="3"/>
  <c r="S40" i="3"/>
  <c r="T40" i="3"/>
  <c r="W40" i="3"/>
  <c r="A41" i="3"/>
  <c r="B41" i="3"/>
  <c r="C41" i="3"/>
  <c r="D41" i="3"/>
  <c r="E41" i="3"/>
  <c r="F41" i="3"/>
  <c r="G41" i="3"/>
  <c r="X41" i="3" s="1"/>
  <c r="H41" i="3"/>
  <c r="I41" i="3"/>
  <c r="J41" i="3"/>
  <c r="K41" i="3"/>
  <c r="L41" i="3"/>
  <c r="P41" i="3" s="1"/>
  <c r="M41" i="3"/>
  <c r="N41" i="3"/>
  <c r="O41" i="3"/>
  <c r="Q41" i="3"/>
  <c r="R41" i="3"/>
  <c r="S41" i="3"/>
  <c r="T41" i="3"/>
  <c r="W41" i="3"/>
  <c r="A42" i="3"/>
  <c r="B42" i="3"/>
  <c r="C42" i="3"/>
  <c r="D42" i="3"/>
  <c r="E42" i="3"/>
  <c r="F42" i="3"/>
  <c r="G42" i="3"/>
  <c r="X42" i="3" s="1"/>
  <c r="H42" i="3"/>
  <c r="I42" i="3"/>
  <c r="J42" i="3"/>
  <c r="K42" i="3"/>
  <c r="L42" i="3"/>
  <c r="P42" i="3" s="1"/>
  <c r="M42" i="3"/>
  <c r="N42" i="3"/>
  <c r="O42" i="3"/>
  <c r="Q42" i="3"/>
  <c r="R42" i="3"/>
  <c r="S42" i="3"/>
  <c r="T42" i="3"/>
  <c r="W42" i="3"/>
  <c r="A43" i="3"/>
  <c r="B43" i="3"/>
  <c r="C43" i="3"/>
  <c r="D43" i="3"/>
  <c r="E43" i="3"/>
  <c r="F43" i="3"/>
  <c r="G43" i="3"/>
  <c r="X43" i="3" s="1"/>
  <c r="H43" i="3"/>
  <c r="I43" i="3"/>
  <c r="J43" i="3"/>
  <c r="K43" i="3"/>
  <c r="L43" i="3"/>
  <c r="P43" i="3" s="1"/>
  <c r="M43" i="3"/>
  <c r="N43" i="3"/>
  <c r="O43" i="3"/>
  <c r="Q43" i="3"/>
  <c r="R43" i="3"/>
  <c r="S43" i="3"/>
  <c r="T43" i="3"/>
  <c r="W43" i="3"/>
  <c r="A44" i="3"/>
  <c r="B44" i="3"/>
  <c r="C44" i="3"/>
  <c r="D44" i="3"/>
  <c r="E44" i="3"/>
  <c r="F44" i="3"/>
  <c r="G44" i="3"/>
  <c r="X44" i="3" s="1"/>
  <c r="H44" i="3"/>
  <c r="I44" i="3"/>
  <c r="J44" i="3"/>
  <c r="K44" i="3"/>
  <c r="L44" i="3"/>
  <c r="P44" i="3" s="1"/>
  <c r="M44" i="3"/>
  <c r="N44" i="3"/>
  <c r="O44" i="3"/>
  <c r="Q44" i="3"/>
  <c r="R44" i="3"/>
  <c r="S44" i="3"/>
  <c r="T44" i="3"/>
  <c r="W44" i="3"/>
  <c r="A45" i="3"/>
  <c r="B45" i="3"/>
  <c r="C45" i="3"/>
  <c r="D45" i="3"/>
  <c r="E45" i="3"/>
  <c r="F45" i="3"/>
  <c r="G45" i="3"/>
  <c r="X45" i="3" s="1"/>
  <c r="H45" i="3"/>
  <c r="I45" i="3"/>
  <c r="J45" i="3"/>
  <c r="K45" i="3"/>
  <c r="L45" i="3"/>
  <c r="P45" i="3" s="1"/>
  <c r="M45" i="3"/>
  <c r="N45" i="3"/>
  <c r="O45" i="3"/>
  <c r="Q45" i="3"/>
  <c r="R45" i="3"/>
  <c r="S45" i="3"/>
  <c r="T45" i="3"/>
  <c r="W45" i="3"/>
  <c r="A46" i="3"/>
  <c r="B46" i="3"/>
  <c r="C46" i="3"/>
  <c r="D46" i="3"/>
  <c r="E46" i="3"/>
  <c r="F46" i="3"/>
  <c r="G46" i="3"/>
  <c r="X46" i="3" s="1"/>
  <c r="H46" i="3"/>
  <c r="I46" i="3"/>
  <c r="J46" i="3"/>
  <c r="K46" i="3"/>
  <c r="L46" i="3"/>
  <c r="P46" i="3" s="1"/>
  <c r="M46" i="3"/>
  <c r="N46" i="3"/>
  <c r="O46" i="3"/>
  <c r="Q46" i="3"/>
  <c r="R46" i="3"/>
  <c r="S46" i="3"/>
  <c r="T46" i="3"/>
  <c r="W46" i="3"/>
  <c r="A47" i="3"/>
  <c r="B47" i="3"/>
  <c r="C47" i="3"/>
  <c r="D47" i="3"/>
  <c r="E47" i="3"/>
  <c r="F47" i="3"/>
  <c r="G47" i="3"/>
  <c r="X47" i="3" s="1"/>
  <c r="H47" i="3"/>
  <c r="I47" i="3"/>
  <c r="J47" i="3"/>
  <c r="K47" i="3"/>
  <c r="L47" i="3"/>
  <c r="P47" i="3" s="1"/>
  <c r="M47" i="3"/>
  <c r="N47" i="3"/>
  <c r="O47" i="3"/>
  <c r="Q47" i="3"/>
  <c r="R47" i="3"/>
  <c r="S47" i="3"/>
  <c r="T47" i="3"/>
  <c r="W47" i="3"/>
  <c r="A48" i="3"/>
  <c r="B48" i="3"/>
  <c r="C48" i="3"/>
  <c r="D48" i="3"/>
  <c r="E48" i="3"/>
  <c r="F48" i="3"/>
  <c r="G48" i="3"/>
  <c r="X48" i="3" s="1"/>
  <c r="H48" i="3"/>
  <c r="I48" i="3"/>
  <c r="J48" i="3"/>
  <c r="K48" i="3"/>
  <c r="L48" i="3"/>
  <c r="P48" i="3" s="1"/>
  <c r="M48" i="3"/>
  <c r="N48" i="3"/>
  <c r="O48" i="3"/>
  <c r="Q48" i="3"/>
  <c r="R48" i="3"/>
  <c r="S48" i="3"/>
  <c r="T48" i="3"/>
  <c r="W48" i="3"/>
  <c r="A49" i="3"/>
  <c r="B49" i="3"/>
  <c r="C49" i="3"/>
  <c r="D49" i="3"/>
  <c r="E49" i="3"/>
  <c r="F49" i="3"/>
  <c r="G49" i="3"/>
  <c r="X49" i="3" s="1"/>
  <c r="H49" i="3"/>
  <c r="I49" i="3"/>
  <c r="J49" i="3"/>
  <c r="K49" i="3"/>
  <c r="L49" i="3"/>
  <c r="P49" i="3" s="1"/>
  <c r="M49" i="3"/>
  <c r="N49" i="3"/>
  <c r="O49" i="3"/>
  <c r="Q49" i="3"/>
  <c r="R49" i="3"/>
  <c r="S49" i="3"/>
  <c r="T49" i="3"/>
  <c r="W49" i="3"/>
  <c r="A50" i="3"/>
  <c r="B50" i="3"/>
  <c r="C50" i="3"/>
  <c r="D50" i="3"/>
  <c r="E50" i="3"/>
  <c r="F50" i="3"/>
  <c r="G50" i="3"/>
  <c r="X50" i="3" s="1"/>
  <c r="H50" i="3"/>
  <c r="I50" i="3"/>
  <c r="J50" i="3"/>
  <c r="K50" i="3"/>
  <c r="L50" i="3"/>
  <c r="P50" i="3" s="1"/>
  <c r="M50" i="3"/>
  <c r="N50" i="3"/>
  <c r="O50" i="3"/>
  <c r="Q50" i="3"/>
  <c r="R50" i="3"/>
  <c r="S50" i="3"/>
  <c r="T50" i="3"/>
  <c r="W50" i="3"/>
  <c r="A51" i="3"/>
  <c r="B51" i="3"/>
  <c r="C51" i="3"/>
  <c r="D51" i="3"/>
  <c r="E51" i="3"/>
  <c r="F51" i="3"/>
  <c r="G51" i="3"/>
  <c r="X51" i="3" s="1"/>
  <c r="H51" i="3"/>
  <c r="I51" i="3"/>
  <c r="J51" i="3"/>
  <c r="K51" i="3"/>
  <c r="L51" i="3"/>
  <c r="P51" i="3" s="1"/>
  <c r="M51" i="3"/>
  <c r="N51" i="3"/>
  <c r="O51" i="3"/>
  <c r="Q51" i="3"/>
  <c r="R51" i="3"/>
  <c r="S51" i="3"/>
  <c r="T51" i="3"/>
  <c r="W51" i="3"/>
  <c r="A52" i="3"/>
  <c r="B52" i="3"/>
  <c r="C52" i="3"/>
  <c r="D52" i="3"/>
  <c r="E52" i="3"/>
  <c r="F52" i="3"/>
  <c r="G52" i="3"/>
  <c r="X52" i="3" s="1"/>
  <c r="H52" i="3"/>
  <c r="I52" i="3"/>
  <c r="J52" i="3"/>
  <c r="K52" i="3"/>
  <c r="L52" i="3"/>
  <c r="P52" i="3" s="1"/>
  <c r="M52" i="3"/>
  <c r="N52" i="3"/>
  <c r="O52" i="3"/>
  <c r="Q52" i="3"/>
  <c r="R52" i="3"/>
  <c r="S52" i="3"/>
  <c r="T52" i="3"/>
  <c r="W52" i="3"/>
  <c r="A53" i="3"/>
  <c r="B53" i="3"/>
  <c r="C53" i="3"/>
  <c r="D53" i="3"/>
  <c r="E53" i="3"/>
  <c r="F53" i="3"/>
  <c r="G53" i="3"/>
  <c r="X53" i="3" s="1"/>
  <c r="H53" i="3"/>
  <c r="I53" i="3"/>
  <c r="J53" i="3"/>
  <c r="K53" i="3"/>
  <c r="L53" i="3"/>
  <c r="P53" i="3" s="1"/>
  <c r="M53" i="3"/>
  <c r="N53" i="3"/>
  <c r="O53" i="3"/>
  <c r="Q53" i="3"/>
  <c r="R53" i="3"/>
  <c r="S53" i="3"/>
  <c r="T53" i="3"/>
  <c r="W53" i="3"/>
  <c r="A54" i="3"/>
  <c r="B54" i="3"/>
  <c r="C54" i="3"/>
  <c r="D54" i="3"/>
  <c r="E54" i="3"/>
  <c r="F54" i="3"/>
  <c r="G54" i="3"/>
  <c r="X54" i="3" s="1"/>
  <c r="H54" i="3"/>
  <c r="I54" i="3"/>
  <c r="J54" i="3"/>
  <c r="K54" i="3"/>
  <c r="L54" i="3"/>
  <c r="P54" i="3" s="1"/>
  <c r="M54" i="3"/>
  <c r="N54" i="3"/>
  <c r="O54" i="3"/>
  <c r="Q54" i="3"/>
  <c r="R54" i="3"/>
  <c r="S54" i="3"/>
  <c r="T54" i="3"/>
  <c r="W54" i="3"/>
  <c r="A55" i="3"/>
  <c r="B55" i="3"/>
  <c r="C55" i="3"/>
  <c r="D55" i="3"/>
  <c r="E55" i="3"/>
  <c r="F55" i="3"/>
  <c r="G55" i="3"/>
  <c r="X55" i="3" s="1"/>
  <c r="H55" i="3"/>
  <c r="I55" i="3"/>
  <c r="J55" i="3"/>
  <c r="K55" i="3"/>
  <c r="L55" i="3"/>
  <c r="P55" i="3" s="1"/>
  <c r="M55" i="3"/>
  <c r="N55" i="3"/>
  <c r="O55" i="3"/>
  <c r="Q55" i="3"/>
  <c r="R55" i="3"/>
  <c r="S55" i="3"/>
  <c r="T55" i="3"/>
  <c r="W55" i="3"/>
  <c r="A56" i="3"/>
  <c r="B56" i="3"/>
  <c r="C56" i="3"/>
  <c r="D56" i="3"/>
  <c r="E56" i="3"/>
  <c r="F56" i="3"/>
  <c r="G56" i="3"/>
  <c r="X56" i="3" s="1"/>
  <c r="H56" i="3"/>
  <c r="I56" i="3"/>
  <c r="J56" i="3"/>
  <c r="K56" i="3"/>
  <c r="L56" i="3"/>
  <c r="P56" i="3" s="1"/>
  <c r="M56" i="3"/>
  <c r="N56" i="3"/>
  <c r="O56" i="3"/>
  <c r="Q56" i="3"/>
  <c r="R56" i="3"/>
  <c r="S56" i="3"/>
  <c r="T56" i="3"/>
  <c r="W56" i="3"/>
  <c r="A57" i="3"/>
  <c r="B57" i="3"/>
  <c r="C57" i="3"/>
  <c r="D57" i="3"/>
  <c r="E57" i="3"/>
  <c r="F57" i="3"/>
  <c r="G57" i="3"/>
  <c r="X57" i="3" s="1"/>
  <c r="H57" i="3"/>
  <c r="I57" i="3"/>
  <c r="J57" i="3"/>
  <c r="K57" i="3"/>
  <c r="L57" i="3"/>
  <c r="P57" i="3" s="1"/>
  <c r="M57" i="3"/>
  <c r="N57" i="3"/>
  <c r="O57" i="3"/>
  <c r="Q57" i="3"/>
  <c r="R57" i="3"/>
  <c r="S57" i="3"/>
  <c r="T57" i="3"/>
  <c r="W57" i="3"/>
  <c r="A58" i="3"/>
  <c r="B58" i="3"/>
  <c r="C58" i="3"/>
  <c r="D58" i="3"/>
  <c r="E58" i="3"/>
  <c r="F58" i="3"/>
  <c r="G58" i="3"/>
  <c r="X58" i="3" s="1"/>
  <c r="H58" i="3"/>
  <c r="I58" i="3"/>
  <c r="J58" i="3"/>
  <c r="K58" i="3"/>
  <c r="L58" i="3"/>
  <c r="P58" i="3" s="1"/>
  <c r="M58" i="3"/>
  <c r="N58" i="3"/>
  <c r="O58" i="3"/>
  <c r="Q58" i="3"/>
  <c r="R58" i="3"/>
  <c r="S58" i="3"/>
  <c r="T58" i="3"/>
  <c r="W58" i="3"/>
  <c r="A59" i="3"/>
  <c r="B59" i="3"/>
  <c r="C59" i="3"/>
  <c r="D59" i="3"/>
  <c r="E59" i="3"/>
  <c r="F59" i="3"/>
  <c r="G59" i="3"/>
  <c r="X59" i="3" s="1"/>
  <c r="H59" i="3"/>
  <c r="I59" i="3"/>
  <c r="J59" i="3"/>
  <c r="K59" i="3"/>
  <c r="L59" i="3"/>
  <c r="P59" i="3" s="1"/>
  <c r="M59" i="3"/>
  <c r="N59" i="3"/>
  <c r="O59" i="3"/>
  <c r="Q59" i="3"/>
  <c r="R59" i="3"/>
  <c r="S59" i="3"/>
  <c r="T59" i="3"/>
  <c r="W59" i="3"/>
  <c r="A60" i="3"/>
  <c r="B60" i="3"/>
  <c r="C60" i="3"/>
  <c r="D60" i="3"/>
  <c r="E60" i="3"/>
  <c r="F60" i="3"/>
  <c r="G60" i="3"/>
  <c r="X60" i="3" s="1"/>
  <c r="H60" i="3"/>
  <c r="I60" i="3"/>
  <c r="J60" i="3"/>
  <c r="K60" i="3"/>
  <c r="L60" i="3"/>
  <c r="P60" i="3" s="1"/>
  <c r="M60" i="3"/>
  <c r="N60" i="3"/>
  <c r="O60" i="3"/>
  <c r="Q60" i="3"/>
  <c r="R60" i="3"/>
  <c r="S60" i="3"/>
  <c r="T60" i="3"/>
  <c r="W60" i="3"/>
  <c r="A61" i="3"/>
  <c r="B61" i="3"/>
  <c r="C61" i="3"/>
  <c r="D61" i="3"/>
  <c r="E61" i="3"/>
  <c r="F61" i="3"/>
  <c r="G61" i="3"/>
  <c r="X61" i="3" s="1"/>
  <c r="H61" i="3"/>
  <c r="I61" i="3"/>
  <c r="J61" i="3"/>
  <c r="K61" i="3"/>
  <c r="L61" i="3"/>
  <c r="P61" i="3" s="1"/>
  <c r="M61" i="3"/>
  <c r="N61" i="3"/>
  <c r="O61" i="3"/>
  <c r="Q61" i="3"/>
  <c r="R61" i="3"/>
  <c r="S61" i="3"/>
  <c r="T61" i="3"/>
  <c r="W61" i="3"/>
  <c r="A62" i="3"/>
  <c r="B62" i="3"/>
  <c r="C62" i="3"/>
  <c r="D62" i="3"/>
  <c r="E62" i="3"/>
  <c r="F62" i="3"/>
  <c r="G62" i="3"/>
  <c r="X62" i="3" s="1"/>
  <c r="H62" i="3"/>
  <c r="I62" i="3"/>
  <c r="J62" i="3"/>
  <c r="K62" i="3"/>
  <c r="L62" i="3"/>
  <c r="P62" i="3" s="1"/>
  <c r="M62" i="3"/>
  <c r="N62" i="3"/>
  <c r="O62" i="3"/>
  <c r="Q62" i="3"/>
  <c r="R62" i="3"/>
  <c r="S62" i="3"/>
  <c r="T62" i="3"/>
  <c r="W62" i="3"/>
  <c r="A63" i="3"/>
  <c r="B63" i="3"/>
  <c r="C63" i="3"/>
  <c r="D63" i="3"/>
  <c r="E63" i="3"/>
  <c r="F63" i="3"/>
  <c r="G63" i="3"/>
  <c r="X63" i="3" s="1"/>
  <c r="H63" i="3"/>
  <c r="I63" i="3"/>
  <c r="J63" i="3"/>
  <c r="K63" i="3"/>
  <c r="L63" i="3"/>
  <c r="P63" i="3" s="1"/>
  <c r="M63" i="3"/>
  <c r="N63" i="3"/>
  <c r="O63" i="3"/>
  <c r="Q63" i="3"/>
  <c r="R63" i="3"/>
  <c r="S63" i="3"/>
  <c r="T63" i="3"/>
  <c r="W63" i="3"/>
  <c r="A64" i="3"/>
  <c r="B64" i="3"/>
  <c r="C64" i="3"/>
  <c r="D64" i="3"/>
  <c r="E64" i="3"/>
  <c r="F64" i="3"/>
  <c r="G64" i="3"/>
  <c r="X64" i="3" s="1"/>
  <c r="H64" i="3"/>
  <c r="I64" i="3"/>
  <c r="J64" i="3"/>
  <c r="K64" i="3"/>
  <c r="L64" i="3"/>
  <c r="P64" i="3" s="1"/>
  <c r="M64" i="3"/>
  <c r="N64" i="3"/>
  <c r="O64" i="3"/>
  <c r="Q64" i="3"/>
  <c r="R64" i="3"/>
  <c r="S64" i="3"/>
  <c r="T64" i="3"/>
  <c r="W64" i="3"/>
  <c r="A65" i="3"/>
  <c r="B65" i="3"/>
  <c r="C65" i="3"/>
  <c r="D65" i="3"/>
  <c r="E65" i="3"/>
  <c r="F65" i="3"/>
  <c r="G65" i="3"/>
  <c r="X65" i="3" s="1"/>
  <c r="H65" i="3"/>
  <c r="I65" i="3"/>
  <c r="J65" i="3"/>
  <c r="K65" i="3"/>
  <c r="L65" i="3"/>
  <c r="P65" i="3" s="1"/>
  <c r="M65" i="3"/>
  <c r="N65" i="3"/>
  <c r="O65" i="3"/>
  <c r="Q65" i="3"/>
  <c r="R65" i="3"/>
  <c r="S65" i="3"/>
  <c r="T65" i="3"/>
  <c r="W65" i="3"/>
  <c r="A66" i="3"/>
  <c r="B66" i="3"/>
  <c r="C66" i="3"/>
  <c r="D66" i="3"/>
  <c r="E66" i="3"/>
  <c r="F66" i="3"/>
  <c r="G66" i="3"/>
  <c r="X66" i="3" s="1"/>
  <c r="H66" i="3"/>
  <c r="I66" i="3"/>
  <c r="J66" i="3"/>
  <c r="K66" i="3"/>
  <c r="L66" i="3"/>
  <c r="P66" i="3" s="1"/>
  <c r="M66" i="3"/>
  <c r="N66" i="3"/>
  <c r="O66" i="3"/>
  <c r="Q66" i="3"/>
  <c r="R66" i="3"/>
  <c r="S66" i="3"/>
  <c r="T66" i="3"/>
  <c r="W66" i="3"/>
  <c r="A67" i="3"/>
  <c r="B67" i="3"/>
  <c r="C67" i="3"/>
  <c r="D67" i="3"/>
  <c r="E67" i="3"/>
  <c r="F67" i="3"/>
  <c r="G67" i="3"/>
  <c r="X67" i="3" s="1"/>
  <c r="H67" i="3"/>
  <c r="I67" i="3"/>
  <c r="J67" i="3"/>
  <c r="K67" i="3"/>
  <c r="L67" i="3"/>
  <c r="P67" i="3" s="1"/>
  <c r="M67" i="3"/>
  <c r="N67" i="3"/>
  <c r="O67" i="3"/>
  <c r="Q67" i="3"/>
  <c r="R67" i="3"/>
  <c r="S67" i="3"/>
  <c r="T67" i="3"/>
  <c r="W67" i="3"/>
  <c r="A68" i="3"/>
  <c r="B68" i="3"/>
  <c r="C68" i="3"/>
  <c r="D68" i="3"/>
  <c r="E68" i="3"/>
  <c r="F68" i="3"/>
  <c r="G68" i="3"/>
  <c r="X68" i="3" s="1"/>
  <c r="H68" i="3"/>
  <c r="I68" i="3"/>
  <c r="J68" i="3"/>
  <c r="K68" i="3"/>
  <c r="L68" i="3"/>
  <c r="P68" i="3" s="1"/>
  <c r="M68" i="3"/>
  <c r="N68" i="3"/>
  <c r="O68" i="3"/>
  <c r="Q68" i="3"/>
  <c r="R68" i="3"/>
  <c r="S68" i="3"/>
  <c r="T68" i="3"/>
  <c r="W68" i="3"/>
  <c r="A69" i="3"/>
  <c r="B69" i="3"/>
  <c r="C69" i="3"/>
  <c r="D69" i="3"/>
  <c r="E69" i="3"/>
  <c r="F69" i="3"/>
  <c r="G69" i="3"/>
  <c r="X69" i="3" s="1"/>
  <c r="H69" i="3"/>
  <c r="I69" i="3"/>
  <c r="J69" i="3"/>
  <c r="K69" i="3"/>
  <c r="L69" i="3"/>
  <c r="P69" i="3" s="1"/>
  <c r="M69" i="3"/>
  <c r="N69" i="3"/>
  <c r="O69" i="3"/>
  <c r="Q69" i="3"/>
  <c r="R69" i="3"/>
  <c r="S69" i="3"/>
  <c r="T69" i="3"/>
  <c r="W69" i="3"/>
  <c r="A70" i="3"/>
  <c r="B70" i="3"/>
  <c r="C70" i="3"/>
  <c r="D70" i="3"/>
  <c r="E70" i="3"/>
  <c r="F70" i="3"/>
  <c r="G70" i="3"/>
  <c r="X70" i="3" s="1"/>
  <c r="H70" i="3"/>
  <c r="I70" i="3"/>
  <c r="J70" i="3"/>
  <c r="K70" i="3"/>
  <c r="L70" i="3"/>
  <c r="P70" i="3" s="1"/>
  <c r="M70" i="3"/>
  <c r="N70" i="3"/>
  <c r="O70" i="3"/>
  <c r="Q70" i="3"/>
  <c r="R70" i="3"/>
  <c r="S70" i="3"/>
  <c r="T70" i="3"/>
  <c r="W70" i="3"/>
  <c r="A71" i="3"/>
  <c r="B71" i="3"/>
  <c r="C71" i="3"/>
  <c r="D71" i="3"/>
  <c r="E71" i="3"/>
  <c r="F71" i="3"/>
  <c r="G71" i="3"/>
  <c r="X71" i="3" s="1"/>
  <c r="H71" i="3"/>
  <c r="I71" i="3"/>
  <c r="J71" i="3"/>
  <c r="K71" i="3"/>
  <c r="L71" i="3"/>
  <c r="P71" i="3" s="1"/>
  <c r="M71" i="3"/>
  <c r="N71" i="3"/>
  <c r="O71" i="3"/>
  <c r="Q71" i="3"/>
  <c r="R71" i="3"/>
  <c r="S71" i="3"/>
  <c r="T71" i="3"/>
  <c r="W71" i="3"/>
  <c r="A72" i="3"/>
  <c r="B72" i="3"/>
  <c r="C72" i="3"/>
  <c r="D72" i="3"/>
  <c r="E72" i="3"/>
  <c r="F72" i="3"/>
  <c r="G72" i="3"/>
  <c r="X72" i="3" s="1"/>
  <c r="H72" i="3"/>
  <c r="I72" i="3"/>
  <c r="J72" i="3"/>
  <c r="K72" i="3"/>
  <c r="L72" i="3"/>
  <c r="P72" i="3" s="1"/>
  <c r="M72" i="3"/>
  <c r="N72" i="3"/>
  <c r="O72" i="3"/>
  <c r="Q72" i="3"/>
  <c r="R72" i="3"/>
  <c r="S72" i="3"/>
  <c r="T72" i="3"/>
  <c r="W72" i="3"/>
  <c r="A73" i="3"/>
  <c r="B73" i="3"/>
  <c r="C73" i="3"/>
  <c r="D73" i="3"/>
  <c r="E73" i="3"/>
  <c r="F73" i="3"/>
  <c r="G73" i="3"/>
  <c r="X73" i="3" s="1"/>
  <c r="H73" i="3"/>
  <c r="I73" i="3"/>
  <c r="J73" i="3"/>
  <c r="K73" i="3"/>
  <c r="L73" i="3"/>
  <c r="P73" i="3" s="1"/>
  <c r="M73" i="3"/>
  <c r="N73" i="3"/>
  <c r="O73" i="3"/>
  <c r="Q73" i="3"/>
  <c r="R73" i="3"/>
  <c r="S73" i="3"/>
  <c r="T73" i="3"/>
  <c r="W73" i="3"/>
  <c r="A74" i="3"/>
  <c r="B74" i="3"/>
  <c r="C74" i="3"/>
  <c r="D74" i="3"/>
  <c r="E74" i="3"/>
  <c r="F74" i="3"/>
  <c r="G74" i="3"/>
  <c r="X74" i="3" s="1"/>
  <c r="H74" i="3"/>
  <c r="I74" i="3"/>
  <c r="J74" i="3"/>
  <c r="K74" i="3"/>
  <c r="L74" i="3"/>
  <c r="P74" i="3" s="1"/>
  <c r="M74" i="3"/>
  <c r="N74" i="3"/>
  <c r="O74" i="3"/>
  <c r="Q74" i="3"/>
  <c r="R74" i="3"/>
  <c r="S74" i="3"/>
  <c r="T74" i="3"/>
  <c r="W74" i="3"/>
  <c r="A75" i="3"/>
  <c r="B75" i="3"/>
  <c r="C75" i="3"/>
  <c r="D75" i="3"/>
  <c r="E75" i="3"/>
  <c r="F75" i="3"/>
  <c r="G75" i="3"/>
  <c r="X75" i="3" s="1"/>
  <c r="H75" i="3"/>
  <c r="I75" i="3"/>
  <c r="J75" i="3"/>
  <c r="K75" i="3"/>
  <c r="L75" i="3"/>
  <c r="P75" i="3" s="1"/>
  <c r="M75" i="3"/>
  <c r="N75" i="3"/>
  <c r="O75" i="3"/>
  <c r="Q75" i="3"/>
  <c r="R75" i="3"/>
  <c r="S75" i="3"/>
  <c r="T75" i="3"/>
  <c r="W75" i="3"/>
  <c r="A76" i="3"/>
  <c r="B76" i="3"/>
  <c r="C76" i="3"/>
  <c r="D76" i="3"/>
  <c r="E76" i="3"/>
  <c r="F76" i="3"/>
  <c r="G76" i="3"/>
  <c r="X76" i="3" s="1"/>
  <c r="H76" i="3"/>
  <c r="I76" i="3"/>
  <c r="J76" i="3"/>
  <c r="K76" i="3"/>
  <c r="L76" i="3"/>
  <c r="P76" i="3" s="1"/>
  <c r="M76" i="3"/>
  <c r="N76" i="3"/>
  <c r="O76" i="3"/>
  <c r="Q76" i="3"/>
  <c r="R76" i="3"/>
  <c r="S76" i="3"/>
  <c r="T76" i="3"/>
  <c r="W76" i="3"/>
  <c r="A77" i="3"/>
  <c r="B77" i="3"/>
  <c r="C77" i="3"/>
  <c r="D77" i="3"/>
  <c r="E77" i="3"/>
  <c r="F77" i="3"/>
  <c r="G77" i="3"/>
  <c r="X77" i="3" s="1"/>
  <c r="H77" i="3"/>
  <c r="I77" i="3"/>
  <c r="J77" i="3"/>
  <c r="K77" i="3"/>
  <c r="L77" i="3"/>
  <c r="P77" i="3" s="1"/>
  <c r="M77" i="3"/>
  <c r="N77" i="3"/>
  <c r="O77" i="3"/>
  <c r="Q77" i="3"/>
  <c r="R77" i="3"/>
  <c r="S77" i="3"/>
  <c r="T77" i="3"/>
  <c r="W77" i="3"/>
  <c r="A78" i="3"/>
  <c r="B78" i="3"/>
  <c r="C78" i="3"/>
  <c r="D78" i="3"/>
  <c r="E78" i="3"/>
  <c r="F78" i="3"/>
  <c r="G78" i="3"/>
  <c r="X78" i="3" s="1"/>
  <c r="H78" i="3"/>
  <c r="I78" i="3"/>
  <c r="J78" i="3"/>
  <c r="K78" i="3"/>
  <c r="L78" i="3"/>
  <c r="P78" i="3" s="1"/>
  <c r="M78" i="3"/>
  <c r="N78" i="3"/>
  <c r="O78" i="3"/>
  <c r="Q78" i="3"/>
  <c r="R78" i="3"/>
  <c r="S78" i="3"/>
  <c r="T78" i="3"/>
  <c r="W78" i="3"/>
  <c r="A79" i="3"/>
  <c r="B79" i="3"/>
  <c r="C79" i="3"/>
  <c r="D79" i="3"/>
  <c r="E79" i="3"/>
  <c r="F79" i="3"/>
  <c r="G79" i="3"/>
  <c r="X79" i="3" s="1"/>
  <c r="H79" i="3"/>
  <c r="I79" i="3"/>
  <c r="J79" i="3"/>
  <c r="K79" i="3"/>
  <c r="L79" i="3"/>
  <c r="P79" i="3" s="1"/>
  <c r="M79" i="3"/>
  <c r="N79" i="3"/>
  <c r="O79" i="3"/>
  <c r="Q79" i="3"/>
  <c r="R79" i="3"/>
  <c r="S79" i="3"/>
  <c r="T79" i="3"/>
  <c r="W79" i="3"/>
  <c r="A80" i="3"/>
  <c r="B80" i="3"/>
  <c r="C80" i="3"/>
  <c r="D80" i="3"/>
  <c r="E80" i="3"/>
  <c r="F80" i="3"/>
  <c r="G80" i="3"/>
  <c r="X80" i="3" s="1"/>
  <c r="H80" i="3"/>
  <c r="I80" i="3"/>
  <c r="J80" i="3"/>
  <c r="K80" i="3"/>
  <c r="L80" i="3"/>
  <c r="P80" i="3" s="1"/>
  <c r="M80" i="3"/>
  <c r="N80" i="3"/>
  <c r="O80" i="3"/>
  <c r="Q80" i="3"/>
  <c r="R80" i="3"/>
  <c r="S80" i="3"/>
  <c r="T80" i="3"/>
  <c r="W80" i="3"/>
  <c r="A81" i="3"/>
  <c r="B81" i="3"/>
  <c r="C81" i="3"/>
  <c r="D81" i="3"/>
  <c r="E81" i="3"/>
  <c r="F81" i="3"/>
  <c r="G81" i="3"/>
  <c r="X81" i="3" s="1"/>
  <c r="H81" i="3"/>
  <c r="I81" i="3"/>
  <c r="J81" i="3"/>
  <c r="K81" i="3"/>
  <c r="L81" i="3"/>
  <c r="P81" i="3" s="1"/>
  <c r="M81" i="3"/>
  <c r="N81" i="3"/>
  <c r="O81" i="3"/>
  <c r="Q81" i="3"/>
  <c r="R81" i="3"/>
  <c r="S81" i="3"/>
  <c r="T81" i="3"/>
  <c r="W81" i="3"/>
  <c r="A82" i="3"/>
  <c r="B82" i="3"/>
  <c r="C82" i="3"/>
  <c r="D82" i="3"/>
  <c r="E82" i="3"/>
  <c r="F82" i="3"/>
  <c r="G82" i="3"/>
  <c r="X82" i="3" s="1"/>
  <c r="H82" i="3"/>
  <c r="I82" i="3"/>
  <c r="J82" i="3"/>
  <c r="K82" i="3"/>
  <c r="L82" i="3"/>
  <c r="P82" i="3" s="1"/>
  <c r="M82" i="3"/>
  <c r="N82" i="3"/>
  <c r="O82" i="3"/>
  <c r="Q82" i="3"/>
  <c r="R82" i="3"/>
  <c r="S82" i="3"/>
  <c r="T82" i="3"/>
  <c r="W82" i="3"/>
  <c r="A83" i="3"/>
  <c r="B83" i="3"/>
  <c r="C83" i="3"/>
  <c r="D83" i="3"/>
  <c r="E83" i="3"/>
  <c r="F83" i="3"/>
  <c r="G83" i="3"/>
  <c r="X83" i="3" s="1"/>
  <c r="H83" i="3"/>
  <c r="I83" i="3"/>
  <c r="J83" i="3"/>
  <c r="K83" i="3"/>
  <c r="L83" i="3"/>
  <c r="P83" i="3" s="1"/>
  <c r="M83" i="3"/>
  <c r="N83" i="3"/>
  <c r="O83" i="3"/>
  <c r="Q83" i="3"/>
  <c r="R83" i="3"/>
  <c r="S83" i="3"/>
  <c r="T83" i="3"/>
  <c r="W83" i="3"/>
  <c r="A84" i="3"/>
  <c r="B84" i="3"/>
  <c r="C84" i="3"/>
  <c r="D84" i="3"/>
  <c r="E84" i="3"/>
  <c r="F84" i="3"/>
  <c r="G84" i="3"/>
  <c r="X84" i="3" s="1"/>
  <c r="H84" i="3"/>
  <c r="I84" i="3"/>
  <c r="J84" i="3"/>
  <c r="K84" i="3"/>
  <c r="L84" i="3"/>
  <c r="P84" i="3" s="1"/>
  <c r="M84" i="3"/>
  <c r="N84" i="3"/>
  <c r="O84" i="3"/>
  <c r="Q84" i="3"/>
  <c r="R84" i="3"/>
  <c r="S84" i="3"/>
  <c r="T84" i="3"/>
  <c r="W84" i="3"/>
  <c r="A85" i="3"/>
  <c r="B85" i="3"/>
  <c r="C85" i="3"/>
  <c r="D85" i="3"/>
  <c r="E85" i="3"/>
  <c r="F85" i="3"/>
  <c r="G85" i="3"/>
  <c r="X85" i="3" s="1"/>
  <c r="H85" i="3"/>
  <c r="I85" i="3"/>
  <c r="J85" i="3"/>
  <c r="K85" i="3"/>
  <c r="L85" i="3"/>
  <c r="P85" i="3" s="1"/>
  <c r="M85" i="3"/>
  <c r="N85" i="3"/>
  <c r="O85" i="3"/>
  <c r="Q85" i="3"/>
  <c r="R85" i="3"/>
  <c r="S85" i="3"/>
  <c r="T85" i="3"/>
  <c r="W85" i="3"/>
  <c r="A86" i="3"/>
  <c r="B86" i="3"/>
  <c r="C86" i="3"/>
  <c r="D86" i="3"/>
  <c r="E86" i="3"/>
  <c r="F86" i="3"/>
  <c r="G86" i="3"/>
  <c r="X86" i="3" s="1"/>
  <c r="H86" i="3"/>
  <c r="I86" i="3"/>
  <c r="J86" i="3"/>
  <c r="K86" i="3"/>
  <c r="L86" i="3"/>
  <c r="P86" i="3" s="1"/>
  <c r="M86" i="3"/>
  <c r="N86" i="3"/>
  <c r="O86" i="3"/>
  <c r="Q86" i="3"/>
  <c r="R86" i="3"/>
  <c r="S86" i="3"/>
  <c r="T86" i="3"/>
  <c r="W86" i="3"/>
  <c r="A87" i="3"/>
  <c r="B87" i="3"/>
  <c r="C87" i="3"/>
  <c r="D87" i="3"/>
  <c r="E87" i="3"/>
  <c r="F87" i="3"/>
  <c r="G87" i="3"/>
  <c r="X87" i="3" s="1"/>
  <c r="H87" i="3"/>
  <c r="I87" i="3"/>
  <c r="J87" i="3"/>
  <c r="K87" i="3"/>
  <c r="L87" i="3"/>
  <c r="P87" i="3" s="1"/>
  <c r="M87" i="3"/>
  <c r="N87" i="3"/>
  <c r="O87" i="3"/>
  <c r="Q87" i="3"/>
  <c r="R87" i="3"/>
  <c r="S87" i="3"/>
  <c r="T87" i="3"/>
  <c r="W87" i="3"/>
  <c r="A88" i="3"/>
  <c r="B88" i="3"/>
  <c r="C88" i="3"/>
  <c r="D88" i="3"/>
  <c r="E88" i="3"/>
  <c r="F88" i="3"/>
  <c r="G88" i="3"/>
  <c r="X88" i="3" s="1"/>
  <c r="H88" i="3"/>
  <c r="I88" i="3"/>
  <c r="J88" i="3"/>
  <c r="K88" i="3"/>
  <c r="L88" i="3"/>
  <c r="P88" i="3" s="1"/>
  <c r="M88" i="3"/>
  <c r="N88" i="3"/>
  <c r="O88" i="3"/>
  <c r="Q88" i="3"/>
  <c r="R88" i="3"/>
  <c r="S88" i="3"/>
  <c r="T88" i="3"/>
  <c r="W88" i="3"/>
  <c r="A89" i="3"/>
  <c r="B89" i="3"/>
  <c r="C89" i="3"/>
  <c r="D89" i="3"/>
  <c r="E89" i="3"/>
  <c r="F89" i="3"/>
  <c r="G89" i="3"/>
  <c r="X89" i="3" s="1"/>
  <c r="H89" i="3"/>
  <c r="I89" i="3"/>
  <c r="J89" i="3"/>
  <c r="K89" i="3"/>
  <c r="L89" i="3"/>
  <c r="P89" i="3" s="1"/>
  <c r="M89" i="3"/>
  <c r="N89" i="3"/>
  <c r="O89" i="3"/>
  <c r="Q89" i="3"/>
  <c r="R89" i="3"/>
  <c r="S89" i="3"/>
  <c r="T89" i="3"/>
  <c r="W89" i="3"/>
  <c r="A90" i="3"/>
  <c r="B90" i="3"/>
  <c r="C90" i="3"/>
  <c r="D90" i="3"/>
  <c r="E90" i="3"/>
  <c r="F90" i="3"/>
  <c r="G90" i="3"/>
  <c r="X90" i="3" s="1"/>
  <c r="H90" i="3"/>
  <c r="I90" i="3"/>
  <c r="J90" i="3"/>
  <c r="K90" i="3"/>
  <c r="L90" i="3"/>
  <c r="P90" i="3" s="1"/>
  <c r="M90" i="3"/>
  <c r="N90" i="3"/>
  <c r="O90" i="3"/>
  <c r="Q90" i="3"/>
  <c r="R90" i="3"/>
  <c r="S90" i="3"/>
  <c r="T90" i="3"/>
  <c r="W90" i="3"/>
  <c r="A91" i="3"/>
  <c r="B91" i="3"/>
  <c r="C91" i="3"/>
  <c r="D91" i="3"/>
  <c r="E91" i="3"/>
  <c r="F91" i="3"/>
  <c r="G91" i="3"/>
  <c r="X91" i="3" s="1"/>
  <c r="H91" i="3"/>
  <c r="I91" i="3"/>
  <c r="J91" i="3"/>
  <c r="K91" i="3"/>
  <c r="L91" i="3"/>
  <c r="P91" i="3" s="1"/>
  <c r="M91" i="3"/>
  <c r="N91" i="3"/>
  <c r="O91" i="3"/>
  <c r="Q91" i="3"/>
  <c r="R91" i="3"/>
  <c r="S91" i="3"/>
  <c r="T91" i="3"/>
  <c r="W91" i="3"/>
  <c r="A92" i="3"/>
  <c r="B92" i="3"/>
  <c r="C92" i="3"/>
  <c r="D92" i="3"/>
  <c r="E92" i="3"/>
  <c r="F92" i="3"/>
  <c r="G92" i="3"/>
  <c r="X92" i="3" s="1"/>
  <c r="H92" i="3"/>
  <c r="I92" i="3"/>
  <c r="J92" i="3"/>
  <c r="K92" i="3"/>
  <c r="L92" i="3"/>
  <c r="P92" i="3" s="1"/>
  <c r="M92" i="3"/>
  <c r="N92" i="3"/>
  <c r="O92" i="3"/>
  <c r="Q92" i="3"/>
  <c r="R92" i="3"/>
  <c r="S92" i="3"/>
  <c r="T92" i="3"/>
  <c r="W92" i="3"/>
  <c r="A93" i="3"/>
  <c r="B93" i="3"/>
  <c r="C93" i="3"/>
  <c r="D93" i="3"/>
  <c r="F93" i="3"/>
  <c r="G93" i="3"/>
  <c r="X93" i="3" s="1"/>
  <c r="H93" i="3"/>
  <c r="I93" i="3"/>
  <c r="J93" i="3"/>
  <c r="K93" i="3"/>
  <c r="L93" i="3"/>
  <c r="P93" i="3" s="1"/>
  <c r="M93" i="3"/>
  <c r="N93" i="3"/>
  <c r="O93" i="3"/>
  <c r="S93" i="3"/>
  <c r="T93" i="3"/>
  <c r="W93" i="3"/>
  <c r="A94" i="3"/>
  <c r="B94" i="3"/>
  <c r="C94" i="3"/>
  <c r="D94" i="3"/>
  <c r="E94" i="3"/>
  <c r="F94" i="3"/>
  <c r="G94" i="3"/>
  <c r="X94" i="3" s="1"/>
  <c r="H94" i="3"/>
  <c r="I94" i="3"/>
  <c r="J94" i="3"/>
  <c r="K94" i="3"/>
  <c r="L94" i="3"/>
  <c r="P94" i="3" s="1"/>
  <c r="M94" i="3"/>
  <c r="N94" i="3"/>
  <c r="O94" i="3"/>
  <c r="Q94" i="3"/>
  <c r="R94" i="3"/>
  <c r="S94" i="3"/>
  <c r="T94" i="3"/>
  <c r="W94" i="3"/>
  <c r="A95" i="3"/>
  <c r="B95" i="3"/>
  <c r="C95" i="3"/>
  <c r="D95" i="3"/>
  <c r="E95" i="3"/>
  <c r="F95" i="3"/>
  <c r="G95" i="3"/>
  <c r="X95" i="3" s="1"/>
  <c r="H95" i="3"/>
  <c r="I95" i="3"/>
  <c r="J95" i="3"/>
  <c r="K95" i="3"/>
  <c r="L95" i="3"/>
  <c r="P95" i="3" s="1"/>
  <c r="M95" i="3"/>
  <c r="N95" i="3"/>
  <c r="O95" i="3"/>
  <c r="Q95" i="3"/>
  <c r="R95" i="3"/>
  <c r="S95" i="3"/>
  <c r="T95" i="3"/>
  <c r="W95" i="3"/>
  <c r="A96" i="3"/>
  <c r="B96" i="3"/>
  <c r="C96" i="3"/>
  <c r="D96" i="3"/>
  <c r="E96" i="3"/>
  <c r="F96" i="3"/>
  <c r="G96" i="3"/>
  <c r="X96" i="3" s="1"/>
  <c r="H96" i="3"/>
  <c r="I96" i="3"/>
  <c r="J96" i="3"/>
  <c r="K96" i="3"/>
  <c r="L96" i="3"/>
  <c r="P96" i="3" s="1"/>
  <c r="M96" i="3"/>
  <c r="N96" i="3"/>
  <c r="O96" i="3"/>
  <c r="Q96" i="3"/>
  <c r="R96" i="3"/>
  <c r="S96" i="3"/>
  <c r="T96" i="3"/>
  <c r="W96" i="3"/>
  <c r="A97" i="3"/>
  <c r="B97" i="3"/>
  <c r="C97" i="3"/>
  <c r="D97" i="3"/>
  <c r="E97" i="3"/>
  <c r="F97" i="3"/>
  <c r="G97" i="3"/>
  <c r="X97" i="3" s="1"/>
  <c r="H97" i="3"/>
  <c r="I97" i="3"/>
  <c r="J97" i="3"/>
  <c r="K97" i="3"/>
  <c r="L97" i="3"/>
  <c r="P97" i="3" s="1"/>
  <c r="M97" i="3"/>
  <c r="N97" i="3"/>
  <c r="O97" i="3"/>
  <c r="Q97" i="3"/>
  <c r="R97" i="3"/>
  <c r="S97" i="3"/>
  <c r="T97" i="3"/>
  <c r="W97" i="3"/>
  <c r="A98" i="3"/>
  <c r="B98" i="3"/>
  <c r="C98" i="3"/>
  <c r="D98" i="3"/>
  <c r="E98" i="3"/>
  <c r="F98" i="3"/>
  <c r="G98" i="3"/>
  <c r="X98" i="3" s="1"/>
  <c r="H98" i="3"/>
  <c r="I98" i="3"/>
  <c r="J98" i="3"/>
  <c r="K98" i="3"/>
  <c r="L98" i="3"/>
  <c r="P98" i="3" s="1"/>
  <c r="M98" i="3"/>
  <c r="N98" i="3"/>
  <c r="O98" i="3"/>
  <c r="Q98" i="3"/>
  <c r="R98" i="3"/>
  <c r="S98" i="3"/>
  <c r="T98" i="3"/>
  <c r="W98" i="3"/>
  <c r="A99" i="3"/>
  <c r="B99" i="3"/>
  <c r="C99" i="3"/>
  <c r="D99" i="3"/>
  <c r="E99" i="3"/>
  <c r="F99" i="3"/>
  <c r="G99" i="3"/>
  <c r="X99" i="3" s="1"/>
  <c r="H99" i="3"/>
  <c r="I99" i="3"/>
  <c r="J99" i="3"/>
  <c r="K99" i="3"/>
  <c r="L99" i="3"/>
  <c r="P99" i="3" s="1"/>
  <c r="M99" i="3"/>
  <c r="N99" i="3"/>
  <c r="O99" i="3"/>
  <c r="Q99" i="3"/>
  <c r="R99" i="3"/>
  <c r="S99" i="3"/>
  <c r="T99" i="3"/>
  <c r="W99" i="3"/>
  <c r="A100" i="3"/>
  <c r="B100" i="3"/>
  <c r="C100" i="3"/>
  <c r="D100" i="3"/>
  <c r="E100" i="3"/>
  <c r="F100" i="3"/>
  <c r="G100" i="3"/>
  <c r="X100" i="3" s="1"/>
  <c r="H100" i="3"/>
  <c r="I100" i="3"/>
  <c r="J100" i="3"/>
  <c r="K100" i="3"/>
  <c r="L100" i="3"/>
  <c r="P100" i="3" s="1"/>
  <c r="M100" i="3"/>
  <c r="N100" i="3"/>
  <c r="O100" i="3"/>
  <c r="Q100" i="3"/>
  <c r="R100" i="3"/>
  <c r="S100" i="3"/>
  <c r="T100" i="3"/>
  <c r="W100" i="3"/>
  <c r="A101" i="3"/>
  <c r="B101" i="3"/>
  <c r="C101" i="3"/>
  <c r="D101" i="3"/>
  <c r="F101" i="3"/>
  <c r="G101" i="3"/>
  <c r="X101" i="3" s="1"/>
  <c r="H101" i="3"/>
  <c r="I101" i="3"/>
  <c r="J101" i="3"/>
  <c r="K101" i="3"/>
  <c r="L101" i="3"/>
  <c r="P101" i="3" s="1"/>
  <c r="M101" i="3"/>
  <c r="N101" i="3"/>
  <c r="O101" i="3"/>
  <c r="S101" i="3"/>
  <c r="T101" i="3"/>
  <c r="W101" i="3"/>
  <c r="A36" i="3"/>
  <c r="B36" i="3"/>
  <c r="C36" i="3"/>
  <c r="D36" i="3"/>
  <c r="F36" i="3"/>
  <c r="G36" i="3"/>
  <c r="H36" i="3"/>
  <c r="I36" i="3"/>
  <c r="J36" i="3"/>
  <c r="K36" i="3"/>
  <c r="L36" i="3"/>
  <c r="P36" i="3" s="1"/>
  <c r="M36" i="3"/>
  <c r="N36" i="3"/>
  <c r="O36" i="3"/>
  <c r="A39" i="12"/>
  <c r="B39" i="12"/>
  <c r="H39" i="12"/>
  <c r="I39" i="12"/>
  <c r="J39" i="12"/>
  <c r="K39" i="12"/>
  <c r="M39" i="12"/>
  <c r="N39" i="12"/>
  <c r="A40" i="12"/>
  <c r="B40" i="12"/>
  <c r="H40" i="12"/>
  <c r="I40" i="12"/>
  <c r="J40" i="12"/>
  <c r="K40" i="12"/>
  <c r="M40" i="12"/>
  <c r="N40" i="12"/>
  <c r="A41" i="12"/>
  <c r="B41" i="12"/>
  <c r="H41" i="12"/>
  <c r="I41" i="12"/>
  <c r="J41" i="12"/>
  <c r="K41" i="12"/>
  <c r="M41" i="12"/>
  <c r="N41" i="12"/>
  <c r="A42" i="12"/>
  <c r="B42" i="12"/>
  <c r="H42" i="12"/>
  <c r="I42" i="12"/>
  <c r="J42" i="12"/>
  <c r="K42" i="12"/>
  <c r="M42" i="12"/>
  <c r="N42" i="12"/>
  <c r="A43" i="12"/>
  <c r="B43" i="12"/>
  <c r="H43" i="12"/>
  <c r="I43" i="12"/>
  <c r="J43" i="12"/>
  <c r="K43" i="12"/>
  <c r="M43" i="12"/>
  <c r="N43" i="12"/>
  <c r="A44" i="12"/>
  <c r="B44" i="12"/>
  <c r="H44" i="12"/>
  <c r="I44" i="12"/>
  <c r="J44" i="12"/>
  <c r="K44" i="12"/>
  <c r="M44" i="12"/>
  <c r="N44" i="12"/>
  <c r="A45" i="12"/>
  <c r="B45" i="12"/>
  <c r="H45" i="12"/>
  <c r="I45" i="12"/>
  <c r="J45" i="12"/>
  <c r="K45" i="12"/>
  <c r="M45" i="12"/>
  <c r="N45" i="12"/>
  <c r="A46" i="12"/>
  <c r="B46" i="12"/>
  <c r="H46" i="12"/>
  <c r="I46" i="12"/>
  <c r="J46" i="12"/>
  <c r="K46" i="12"/>
  <c r="M46" i="12"/>
  <c r="N46" i="12"/>
  <c r="A47" i="12"/>
  <c r="B47" i="12"/>
  <c r="H47" i="12"/>
  <c r="I47" i="12"/>
  <c r="J47" i="12"/>
  <c r="K47" i="12"/>
  <c r="M47" i="12"/>
  <c r="N47" i="12"/>
  <c r="A48" i="12"/>
  <c r="B48" i="12"/>
  <c r="H48" i="12"/>
  <c r="I48" i="12"/>
  <c r="J48" i="12"/>
  <c r="K48" i="12"/>
  <c r="M48" i="12"/>
  <c r="N48" i="12"/>
  <c r="A49" i="12"/>
  <c r="B49" i="12"/>
  <c r="H49" i="12"/>
  <c r="I49" i="12"/>
  <c r="J49" i="12"/>
  <c r="K49" i="12"/>
  <c r="M49" i="12"/>
  <c r="N49" i="12"/>
  <c r="A50" i="12"/>
  <c r="B50" i="12"/>
  <c r="H50" i="12"/>
  <c r="I50" i="12"/>
  <c r="J50" i="12"/>
  <c r="K50" i="12"/>
  <c r="M50" i="12"/>
  <c r="N50" i="12"/>
  <c r="A51" i="12"/>
  <c r="B51" i="12"/>
  <c r="H51" i="12"/>
  <c r="I51" i="12"/>
  <c r="J51" i="12"/>
  <c r="K51" i="12"/>
  <c r="M51" i="12"/>
  <c r="N51" i="12"/>
  <c r="A52" i="12"/>
  <c r="B52" i="12"/>
  <c r="H52" i="12"/>
  <c r="I52" i="12"/>
  <c r="J52" i="12"/>
  <c r="K52" i="12"/>
  <c r="M52" i="12"/>
  <c r="N52" i="12"/>
  <c r="A53" i="12"/>
  <c r="B53" i="12"/>
  <c r="H53" i="12"/>
  <c r="I53" i="12"/>
  <c r="J53" i="12"/>
  <c r="K53" i="12"/>
  <c r="M53" i="12"/>
  <c r="N53" i="12"/>
  <c r="A54" i="12"/>
  <c r="B54" i="12"/>
  <c r="H54" i="12"/>
  <c r="I54" i="12"/>
  <c r="J54" i="12"/>
  <c r="K54" i="12"/>
  <c r="M54" i="12"/>
  <c r="N54" i="12"/>
  <c r="A55" i="12"/>
  <c r="B55" i="12"/>
  <c r="H55" i="12"/>
  <c r="I55" i="12"/>
  <c r="J55" i="12"/>
  <c r="K55" i="12"/>
  <c r="M55" i="12"/>
  <c r="N55" i="12"/>
  <c r="A56" i="12"/>
  <c r="B56" i="12"/>
  <c r="H56" i="12"/>
  <c r="I56" i="12"/>
  <c r="J56" i="12"/>
  <c r="K56" i="12"/>
  <c r="M56" i="12"/>
  <c r="N56" i="12"/>
  <c r="A57" i="12"/>
  <c r="B57" i="12"/>
  <c r="H57" i="12"/>
  <c r="I57" i="12"/>
  <c r="J57" i="12"/>
  <c r="K57" i="12"/>
  <c r="M57" i="12"/>
  <c r="N57" i="12"/>
  <c r="A58" i="12"/>
  <c r="B58" i="12"/>
  <c r="H58" i="12"/>
  <c r="I58" i="12"/>
  <c r="J58" i="12"/>
  <c r="K58" i="12"/>
  <c r="M58" i="12"/>
  <c r="N58" i="12"/>
  <c r="A59" i="12"/>
  <c r="B59" i="12"/>
  <c r="H59" i="12"/>
  <c r="I59" i="12"/>
  <c r="J59" i="12"/>
  <c r="K59" i="12"/>
  <c r="M59" i="12"/>
  <c r="N59" i="12"/>
  <c r="A60" i="12"/>
  <c r="B60" i="12"/>
  <c r="H60" i="12"/>
  <c r="I60" i="12"/>
  <c r="J60" i="12"/>
  <c r="K60" i="12"/>
  <c r="M60" i="12"/>
  <c r="N60" i="12"/>
  <c r="A61" i="12"/>
  <c r="B61" i="12"/>
  <c r="H61" i="12"/>
  <c r="I61" i="12"/>
  <c r="J61" i="12"/>
  <c r="K61" i="12"/>
  <c r="M61" i="12"/>
  <c r="N61" i="12"/>
  <c r="A62" i="12"/>
  <c r="B62" i="12"/>
  <c r="H62" i="12"/>
  <c r="I62" i="12"/>
  <c r="J62" i="12"/>
  <c r="K62" i="12"/>
  <c r="M62" i="12"/>
  <c r="N62" i="12"/>
  <c r="A63" i="12"/>
  <c r="B63" i="12"/>
  <c r="H63" i="12"/>
  <c r="I63" i="12"/>
  <c r="J63" i="12"/>
  <c r="K63" i="12"/>
  <c r="M63" i="12"/>
  <c r="N63" i="12"/>
  <c r="A64" i="12"/>
  <c r="B64" i="12"/>
  <c r="H64" i="12"/>
  <c r="I64" i="12"/>
  <c r="J64" i="12"/>
  <c r="K64" i="12"/>
  <c r="M64" i="12"/>
  <c r="N64" i="12"/>
  <c r="A65" i="12"/>
  <c r="B65" i="12"/>
  <c r="H65" i="12"/>
  <c r="I65" i="12"/>
  <c r="J65" i="12"/>
  <c r="K65" i="12"/>
  <c r="M65" i="12"/>
  <c r="N65" i="12"/>
  <c r="A66" i="12"/>
  <c r="B66" i="12"/>
  <c r="H66" i="12"/>
  <c r="I66" i="12"/>
  <c r="J66" i="12"/>
  <c r="K66" i="12"/>
  <c r="M66" i="12"/>
  <c r="N66" i="12"/>
  <c r="A67" i="12"/>
  <c r="B67" i="12"/>
  <c r="H67" i="12"/>
  <c r="I67" i="12"/>
  <c r="J67" i="12"/>
  <c r="K67" i="12"/>
  <c r="M67" i="12"/>
  <c r="N67" i="12"/>
  <c r="A68" i="12"/>
  <c r="B68" i="12"/>
  <c r="H68" i="12"/>
  <c r="I68" i="12"/>
  <c r="J68" i="12"/>
  <c r="K68" i="12"/>
  <c r="M68" i="12"/>
  <c r="N68" i="12"/>
  <c r="A69" i="12"/>
  <c r="B69" i="12"/>
  <c r="H69" i="12"/>
  <c r="I69" i="12"/>
  <c r="J69" i="12"/>
  <c r="K69" i="12"/>
  <c r="M69" i="12"/>
  <c r="N69" i="12"/>
  <c r="A70" i="12"/>
  <c r="B70" i="12"/>
  <c r="H70" i="12"/>
  <c r="I70" i="12"/>
  <c r="J70" i="12"/>
  <c r="K70" i="12"/>
  <c r="M70" i="12"/>
  <c r="N70" i="12"/>
  <c r="A71" i="12"/>
  <c r="B71" i="12"/>
  <c r="H71" i="12"/>
  <c r="I71" i="12"/>
  <c r="J71" i="12"/>
  <c r="K71" i="12"/>
  <c r="M71" i="12"/>
  <c r="N71" i="12"/>
  <c r="A72" i="12"/>
  <c r="B72" i="12"/>
  <c r="H72" i="12"/>
  <c r="I72" i="12"/>
  <c r="J72" i="12"/>
  <c r="K72" i="12"/>
  <c r="M72" i="12"/>
  <c r="N72" i="12"/>
  <c r="A73" i="12"/>
  <c r="B73" i="12"/>
  <c r="H73" i="12"/>
  <c r="I73" i="12"/>
  <c r="J73" i="12"/>
  <c r="K73" i="12"/>
  <c r="M73" i="12"/>
  <c r="N73" i="12"/>
  <c r="A74" i="12"/>
  <c r="B74" i="12"/>
  <c r="H74" i="12"/>
  <c r="I74" i="12"/>
  <c r="J74" i="12"/>
  <c r="K74" i="12"/>
  <c r="M74" i="12"/>
  <c r="N74" i="12"/>
  <c r="A75" i="12"/>
  <c r="B75" i="12"/>
  <c r="H75" i="12"/>
  <c r="I75" i="12"/>
  <c r="J75" i="12"/>
  <c r="K75" i="12"/>
  <c r="M75" i="12"/>
  <c r="N75" i="12"/>
  <c r="A76" i="12"/>
  <c r="B76" i="12"/>
  <c r="H76" i="12"/>
  <c r="I76" i="12"/>
  <c r="J76" i="12"/>
  <c r="K76" i="12"/>
  <c r="M76" i="12"/>
  <c r="N76" i="12"/>
  <c r="A77" i="12"/>
  <c r="B77" i="12"/>
  <c r="H77" i="12"/>
  <c r="I77" i="12"/>
  <c r="J77" i="12"/>
  <c r="K77" i="12"/>
  <c r="M77" i="12"/>
  <c r="N77" i="12"/>
  <c r="A78" i="12"/>
  <c r="B78" i="12"/>
  <c r="H78" i="12"/>
  <c r="I78" i="12"/>
  <c r="J78" i="12"/>
  <c r="K78" i="12"/>
  <c r="M78" i="12"/>
  <c r="N78" i="12"/>
  <c r="A79" i="12"/>
  <c r="B79" i="12"/>
  <c r="H79" i="12"/>
  <c r="I79" i="12"/>
  <c r="J79" i="12"/>
  <c r="K79" i="12"/>
  <c r="M79" i="12"/>
  <c r="N79" i="12"/>
  <c r="A80" i="12"/>
  <c r="B80" i="12"/>
  <c r="H80" i="12"/>
  <c r="I80" i="12"/>
  <c r="J80" i="12"/>
  <c r="K80" i="12"/>
  <c r="M80" i="12"/>
  <c r="N80" i="12"/>
  <c r="A81" i="12"/>
  <c r="B81" i="12"/>
  <c r="H81" i="12"/>
  <c r="I81" i="12"/>
  <c r="J81" i="12"/>
  <c r="K81" i="12"/>
  <c r="M81" i="12"/>
  <c r="N81" i="12"/>
  <c r="A82" i="12"/>
  <c r="B82" i="12"/>
  <c r="H82" i="12"/>
  <c r="I82" i="12"/>
  <c r="J82" i="12"/>
  <c r="K82" i="12"/>
  <c r="M82" i="12"/>
  <c r="N82" i="12"/>
  <c r="A83" i="12"/>
  <c r="B83" i="12"/>
  <c r="H83" i="12"/>
  <c r="I83" i="12"/>
  <c r="J83" i="12"/>
  <c r="K83" i="12"/>
  <c r="M83" i="12"/>
  <c r="N83" i="12"/>
  <c r="A84" i="12"/>
  <c r="B84" i="12"/>
  <c r="H84" i="12"/>
  <c r="I84" i="12"/>
  <c r="J84" i="12"/>
  <c r="K84" i="12"/>
  <c r="M84" i="12"/>
  <c r="N84" i="12"/>
  <c r="A85" i="12"/>
  <c r="B85" i="12"/>
  <c r="H85" i="12"/>
  <c r="I85" i="12"/>
  <c r="J85" i="12"/>
  <c r="K85" i="12"/>
  <c r="M85" i="12"/>
  <c r="N85" i="12"/>
  <c r="A86" i="12"/>
  <c r="B86" i="12"/>
  <c r="H86" i="12"/>
  <c r="I86" i="12"/>
  <c r="J86" i="12"/>
  <c r="K86" i="12"/>
  <c r="M86" i="12"/>
  <c r="N86" i="12"/>
  <c r="A87" i="12"/>
  <c r="B87" i="12"/>
  <c r="H87" i="12"/>
  <c r="I87" i="12"/>
  <c r="J87" i="12"/>
  <c r="K87" i="12"/>
  <c r="M87" i="12"/>
  <c r="N87" i="12"/>
  <c r="A88" i="12"/>
  <c r="B88" i="12"/>
  <c r="H88" i="12"/>
  <c r="I88" i="12"/>
  <c r="J88" i="12"/>
  <c r="K88" i="12"/>
  <c r="M88" i="12"/>
  <c r="N88" i="12"/>
  <c r="A89" i="12"/>
  <c r="B89" i="12"/>
  <c r="H89" i="12"/>
  <c r="I89" i="12"/>
  <c r="J89" i="12"/>
  <c r="K89" i="12"/>
  <c r="M89" i="12"/>
  <c r="N89" i="12"/>
  <c r="A90" i="12"/>
  <c r="B90" i="12"/>
  <c r="H90" i="12"/>
  <c r="I90" i="12"/>
  <c r="J90" i="12"/>
  <c r="K90" i="12"/>
  <c r="M90" i="12"/>
  <c r="N90" i="12"/>
  <c r="A91" i="12"/>
  <c r="B91" i="12"/>
  <c r="H91" i="12"/>
  <c r="I91" i="12"/>
  <c r="J91" i="12"/>
  <c r="K91" i="12"/>
  <c r="M91" i="12"/>
  <c r="N91" i="12"/>
  <c r="A92" i="12"/>
  <c r="B92" i="12"/>
  <c r="H92" i="12"/>
  <c r="I92" i="12"/>
  <c r="J92" i="12"/>
  <c r="K92" i="12"/>
  <c r="M92" i="12"/>
  <c r="N92" i="12"/>
  <c r="A93" i="12"/>
  <c r="B93" i="12"/>
  <c r="H93" i="12"/>
  <c r="I93" i="12"/>
  <c r="J93" i="12"/>
  <c r="K93" i="12"/>
  <c r="M93" i="12"/>
  <c r="N93" i="12"/>
  <c r="A94" i="12"/>
  <c r="B94" i="12"/>
  <c r="H94" i="12"/>
  <c r="I94" i="12"/>
  <c r="J94" i="12"/>
  <c r="K94" i="12"/>
  <c r="M94" i="12"/>
  <c r="N94" i="12"/>
  <c r="A95" i="12"/>
  <c r="B95" i="12"/>
  <c r="H95" i="12"/>
  <c r="I95" i="12"/>
  <c r="J95" i="12"/>
  <c r="K95" i="12"/>
  <c r="M95" i="12"/>
  <c r="N95" i="12"/>
  <c r="A96" i="12"/>
  <c r="B96" i="12"/>
  <c r="H96" i="12"/>
  <c r="I96" i="12"/>
  <c r="J96" i="12"/>
  <c r="K96" i="12"/>
  <c r="M96" i="12"/>
  <c r="N96" i="12"/>
  <c r="A97" i="12"/>
  <c r="B97" i="12"/>
  <c r="H97" i="12"/>
  <c r="I97" i="12"/>
  <c r="J97" i="12"/>
  <c r="K97" i="12"/>
  <c r="M97" i="12"/>
  <c r="N97" i="12"/>
  <c r="A98" i="12"/>
  <c r="B98" i="12"/>
  <c r="H98" i="12"/>
  <c r="I98" i="12"/>
  <c r="J98" i="12"/>
  <c r="K98" i="12"/>
  <c r="M98" i="12"/>
  <c r="N98" i="12"/>
  <c r="A99" i="12"/>
  <c r="B99" i="12"/>
  <c r="H99" i="12"/>
  <c r="I99" i="12"/>
  <c r="J99" i="12"/>
  <c r="K99" i="12"/>
  <c r="M99" i="12"/>
  <c r="N99" i="12"/>
  <c r="A100" i="12"/>
  <c r="B100" i="12"/>
  <c r="H100" i="12"/>
  <c r="I100" i="12"/>
  <c r="J100" i="12"/>
  <c r="K100" i="12"/>
  <c r="M100" i="12"/>
  <c r="N100" i="12"/>
  <c r="A101" i="12"/>
  <c r="B101" i="12"/>
  <c r="H101" i="12"/>
  <c r="I101" i="12"/>
  <c r="J101" i="12"/>
  <c r="K101" i="12"/>
  <c r="M101" i="12"/>
  <c r="N101" i="12"/>
  <c r="A102" i="12"/>
  <c r="B102" i="12"/>
  <c r="H102" i="12"/>
  <c r="I102" i="12"/>
  <c r="J102" i="12"/>
  <c r="K102" i="12"/>
  <c r="M102" i="12"/>
  <c r="N102" i="12"/>
  <c r="A103" i="12"/>
  <c r="B103" i="12"/>
  <c r="H103" i="12"/>
  <c r="I103" i="12"/>
  <c r="J103" i="12"/>
  <c r="K103" i="12"/>
  <c r="M103" i="12"/>
  <c r="N103" i="12"/>
  <c r="A104" i="12"/>
  <c r="B104" i="12"/>
  <c r="H104" i="12"/>
  <c r="I104" i="12"/>
  <c r="J104" i="12"/>
  <c r="K104" i="12"/>
  <c r="M104" i="12"/>
  <c r="N104" i="12"/>
  <c r="A105" i="12"/>
  <c r="B105" i="12"/>
  <c r="H105" i="12"/>
  <c r="I105" i="12"/>
  <c r="J105" i="12"/>
  <c r="K105" i="12"/>
  <c r="M105" i="12"/>
  <c r="N105" i="12"/>
  <c r="A36" i="2"/>
  <c r="B36" i="2"/>
  <c r="C36" i="2"/>
  <c r="D36" i="2"/>
  <c r="E36" i="2"/>
  <c r="F36" i="2"/>
  <c r="G36" i="2"/>
  <c r="H36" i="2"/>
  <c r="I36" i="2"/>
  <c r="A37" i="2"/>
  <c r="B37" i="2"/>
  <c r="C37" i="2"/>
  <c r="D37" i="2"/>
  <c r="E37" i="2"/>
  <c r="F37" i="2"/>
  <c r="G37" i="2"/>
  <c r="H37" i="2"/>
  <c r="I37" i="2"/>
  <c r="A38" i="2"/>
  <c r="B38" i="2"/>
  <c r="C38" i="2"/>
  <c r="D38" i="2"/>
  <c r="E38" i="2"/>
  <c r="F38" i="2"/>
  <c r="G38" i="2"/>
  <c r="H38" i="2"/>
  <c r="I38" i="2"/>
  <c r="A39" i="2"/>
  <c r="B39" i="2"/>
  <c r="C39" i="2"/>
  <c r="D39" i="2"/>
  <c r="E39" i="2"/>
  <c r="F39" i="2"/>
  <c r="G39" i="2"/>
  <c r="H39" i="2"/>
  <c r="I39" i="2"/>
  <c r="A40" i="2"/>
  <c r="B40" i="2"/>
  <c r="C40" i="2"/>
  <c r="D40" i="2"/>
  <c r="E40" i="2"/>
  <c r="F40" i="2"/>
  <c r="G40" i="2"/>
  <c r="H40" i="2"/>
  <c r="I40" i="2"/>
  <c r="A41" i="2"/>
  <c r="B41" i="2"/>
  <c r="C41" i="2"/>
  <c r="D41" i="2"/>
  <c r="E41" i="2"/>
  <c r="F41" i="2"/>
  <c r="G41" i="2"/>
  <c r="H41" i="2"/>
  <c r="I41" i="2"/>
  <c r="A42" i="2"/>
  <c r="B42" i="2"/>
  <c r="C42" i="2"/>
  <c r="D42" i="2"/>
  <c r="E42" i="2"/>
  <c r="F42" i="2"/>
  <c r="G42" i="2"/>
  <c r="H42" i="2"/>
  <c r="I42" i="2"/>
  <c r="A43" i="2"/>
  <c r="B43" i="2"/>
  <c r="C43" i="2"/>
  <c r="D43" i="2"/>
  <c r="E43" i="2"/>
  <c r="F43" i="2"/>
  <c r="G43" i="2"/>
  <c r="H43" i="2"/>
  <c r="I43" i="2"/>
  <c r="A44" i="2"/>
  <c r="B44" i="2"/>
  <c r="C44" i="2"/>
  <c r="D44" i="2"/>
  <c r="E44" i="2"/>
  <c r="F44" i="2"/>
  <c r="G44" i="2"/>
  <c r="H44" i="2"/>
  <c r="I44" i="2"/>
  <c r="A45" i="2"/>
  <c r="B45" i="2"/>
  <c r="C45" i="2"/>
  <c r="D45" i="2"/>
  <c r="E45" i="2"/>
  <c r="F45" i="2"/>
  <c r="G45" i="2"/>
  <c r="H45" i="2"/>
  <c r="I45" i="2"/>
  <c r="A46" i="2"/>
  <c r="B46" i="2"/>
  <c r="C46" i="2"/>
  <c r="D46" i="2"/>
  <c r="E46" i="2"/>
  <c r="F46" i="2"/>
  <c r="G46" i="2"/>
  <c r="H46" i="2"/>
  <c r="I46" i="2"/>
  <c r="A47" i="2"/>
  <c r="B47" i="2"/>
  <c r="C47" i="2"/>
  <c r="D47" i="2"/>
  <c r="E47" i="2"/>
  <c r="F47" i="2"/>
  <c r="G47" i="2"/>
  <c r="H47" i="2"/>
  <c r="I47" i="2"/>
  <c r="A48" i="2"/>
  <c r="B48" i="2"/>
  <c r="C48" i="2"/>
  <c r="D48" i="2"/>
  <c r="E48" i="2"/>
  <c r="F48" i="2"/>
  <c r="G48" i="2"/>
  <c r="H48" i="2"/>
  <c r="I48" i="2"/>
  <c r="A49" i="2"/>
  <c r="B49" i="2"/>
  <c r="C49" i="2"/>
  <c r="D49" i="2"/>
  <c r="E49" i="2"/>
  <c r="F49" i="2"/>
  <c r="G49" i="2"/>
  <c r="H49" i="2"/>
  <c r="I49" i="2"/>
  <c r="A50" i="2"/>
  <c r="B50" i="2"/>
  <c r="C50" i="2"/>
  <c r="D50" i="2"/>
  <c r="E50" i="2"/>
  <c r="F50" i="2"/>
  <c r="G50" i="2"/>
  <c r="H50" i="2"/>
  <c r="I50" i="2"/>
  <c r="A51" i="2"/>
  <c r="B51" i="2"/>
  <c r="C51" i="2"/>
  <c r="D51" i="2"/>
  <c r="E51" i="2"/>
  <c r="F51" i="2"/>
  <c r="G51" i="2"/>
  <c r="H51" i="2"/>
  <c r="I51" i="2"/>
  <c r="A52" i="2"/>
  <c r="B52" i="2"/>
  <c r="C52" i="2"/>
  <c r="D52" i="2"/>
  <c r="E52" i="2"/>
  <c r="F52" i="2"/>
  <c r="G52" i="2"/>
  <c r="H52" i="2"/>
  <c r="I52" i="2"/>
  <c r="A53" i="2"/>
  <c r="B53" i="2"/>
  <c r="C53" i="2"/>
  <c r="D53" i="2"/>
  <c r="E53" i="2"/>
  <c r="F53" i="2"/>
  <c r="G53" i="2"/>
  <c r="H53" i="2"/>
  <c r="I53" i="2"/>
  <c r="A54" i="2"/>
  <c r="B54" i="2"/>
  <c r="C54" i="2"/>
  <c r="D54" i="2"/>
  <c r="E54" i="2"/>
  <c r="F54" i="2"/>
  <c r="G54" i="2"/>
  <c r="H54" i="2"/>
  <c r="I54" i="2"/>
  <c r="A55" i="2"/>
  <c r="B55" i="2"/>
  <c r="C55" i="2"/>
  <c r="D55" i="2"/>
  <c r="E55" i="2"/>
  <c r="F55" i="2"/>
  <c r="G55" i="2"/>
  <c r="H55" i="2"/>
  <c r="I55" i="2"/>
  <c r="A56" i="2"/>
  <c r="B56" i="2"/>
  <c r="C56" i="2"/>
  <c r="D56" i="2"/>
  <c r="E56" i="2"/>
  <c r="F56" i="2"/>
  <c r="G56" i="2"/>
  <c r="H56" i="2"/>
  <c r="I56" i="2"/>
  <c r="A57" i="2"/>
  <c r="B57" i="2"/>
  <c r="C57" i="2"/>
  <c r="D57" i="2"/>
  <c r="E57" i="2"/>
  <c r="F57" i="2"/>
  <c r="G57" i="2"/>
  <c r="H57" i="2"/>
  <c r="I57" i="2"/>
  <c r="A58" i="2"/>
  <c r="B58" i="2"/>
  <c r="C58" i="2"/>
  <c r="D58" i="2"/>
  <c r="E58" i="2"/>
  <c r="F58" i="2"/>
  <c r="G58" i="2"/>
  <c r="H58" i="2"/>
  <c r="I58" i="2"/>
  <c r="A59" i="2"/>
  <c r="B59" i="2"/>
  <c r="C59" i="2"/>
  <c r="D59" i="2"/>
  <c r="E59" i="2"/>
  <c r="F59" i="2"/>
  <c r="G59" i="2"/>
  <c r="H59" i="2"/>
  <c r="I59" i="2"/>
  <c r="A60" i="2"/>
  <c r="B60" i="2"/>
  <c r="C60" i="2"/>
  <c r="D60" i="2"/>
  <c r="E60" i="2"/>
  <c r="F60" i="2"/>
  <c r="G60" i="2"/>
  <c r="H60" i="2"/>
  <c r="I60" i="2"/>
  <c r="A61" i="2"/>
  <c r="B61" i="2"/>
  <c r="C61" i="2"/>
  <c r="D61" i="2"/>
  <c r="E61" i="2"/>
  <c r="F61" i="2"/>
  <c r="G61" i="2"/>
  <c r="H61" i="2"/>
  <c r="I61" i="2"/>
  <c r="A62" i="2"/>
  <c r="B62" i="2"/>
  <c r="C62" i="2"/>
  <c r="D62" i="2"/>
  <c r="E62" i="2"/>
  <c r="F62" i="2"/>
  <c r="G62" i="2"/>
  <c r="H62" i="2"/>
  <c r="I62" i="2"/>
  <c r="A63" i="2"/>
  <c r="B63" i="2"/>
  <c r="C63" i="2"/>
  <c r="D63" i="2"/>
  <c r="E63" i="2"/>
  <c r="F63" i="2"/>
  <c r="G63" i="2"/>
  <c r="H63" i="2"/>
  <c r="I63" i="2"/>
  <c r="A64" i="2"/>
  <c r="B64" i="2"/>
  <c r="C64" i="2"/>
  <c r="D64" i="2"/>
  <c r="E64" i="2"/>
  <c r="F64" i="2"/>
  <c r="G64" i="2"/>
  <c r="H64" i="2"/>
  <c r="I64" i="2"/>
  <c r="A65" i="2"/>
  <c r="B65" i="2"/>
  <c r="C65" i="2"/>
  <c r="D65" i="2"/>
  <c r="E65" i="2"/>
  <c r="F65" i="2"/>
  <c r="G65" i="2"/>
  <c r="H65" i="2"/>
  <c r="I65" i="2"/>
  <c r="A66" i="2"/>
  <c r="B66" i="2"/>
  <c r="C66" i="2"/>
  <c r="D66" i="2"/>
  <c r="E66" i="2"/>
  <c r="F66" i="2"/>
  <c r="G66" i="2"/>
  <c r="H66" i="2"/>
  <c r="I66" i="2"/>
  <c r="A67" i="2"/>
  <c r="B67" i="2"/>
  <c r="C67" i="2"/>
  <c r="D67" i="2"/>
  <c r="E67" i="2"/>
  <c r="F67" i="2"/>
  <c r="G67" i="2"/>
  <c r="H67" i="2"/>
  <c r="I67" i="2"/>
  <c r="A68" i="2"/>
  <c r="B68" i="2"/>
  <c r="C68" i="2"/>
  <c r="D68" i="2"/>
  <c r="E68" i="2"/>
  <c r="F68" i="2"/>
  <c r="G68" i="2"/>
  <c r="H68" i="2"/>
  <c r="I68" i="2"/>
  <c r="A69" i="2"/>
  <c r="B69" i="2"/>
  <c r="C69" i="2"/>
  <c r="D69" i="2"/>
  <c r="E69" i="2"/>
  <c r="F69" i="2"/>
  <c r="G69" i="2"/>
  <c r="H69" i="2"/>
  <c r="I69" i="2"/>
  <c r="A70" i="2"/>
  <c r="B70" i="2"/>
  <c r="C70" i="2"/>
  <c r="D70" i="2"/>
  <c r="E70" i="2"/>
  <c r="F70" i="2"/>
  <c r="G70" i="2"/>
  <c r="H70" i="2"/>
  <c r="I70" i="2"/>
  <c r="A71" i="2"/>
  <c r="B71" i="2"/>
  <c r="C71" i="2"/>
  <c r="D71" i="2"/>
  <c r="E71" i="2"/>
  <c r="F71" i="2"/>
  <c r="G71" i="2"/>
  <c r="H71" i="2"/>
  <c r="I71" i="2"/>
  <c r="A72" i="2"/>
  <c r="B72" i="2"/>
  <c r="C72" i="2"/>
  <c r="D72" i="2"/>
  <c r="E72" i="2"/>
  <c r="F72" i="2"/>
  <c r="G72" i="2"/>
  <c r="H72" i="2"/>
  <c r="I72" i="2"/>
  <c r="A73" i="2"/>
  <c r="B73" i="2"/>
  <c r="C73" i="2"/>
  <c r="D73" i="2"/>
  <c r="E73" i="2"/>
  <c r="F73" i="2"/>
  <c r="G73" i="2"/>
  <c r="H73" i="2"/>
  <c r="I73" i="2"/>
  <c r="A74" i="2"/>
  <c r="B74" i="2"/>
  <c r="C74" i="2"/>
  <c r="D74" i="2"/>
  <c r="E74" i="2"/>
  <c r="F74" i="2"/>
  <c r="G74" i="2"/>
  <c r="H74" i="2"/>
  <c r="I74" i="2"/>
  <c r="A75" i="2"/>
  <c r="B75" i="2"/>
  <c r="C75" i="2"/>
  <c r="D75" i="2"/>
  <c r="E75" i="2"/>
  <c r="F75" i="2"/>
  <c r="G75" i="2"/>
  <c r="H75" i="2"/>
  <c r="I75" i="2"/>
  <c r="A76" i="2"/>
  <c r="B76" i="2"/>
  <c r="C76" i="2"/>
  <c r="D76" i="2"/>
  <c r="E76" i="2"/>
  <c r="F76" i="2"/>
  <c r="G76" i="2"/>
  <c r="H76" i="2"/>
  <c r="I76" i="2"/>
  <c r="A77" i="2"/>
  <c r="B77" i="2"/>
  <c r="C77" i="2"/>
  <c r="D77" i="2"/>
  <c r="E77" i="2"/>
  <c r="F77" i="2"/>
  <c r="G77" i="2"/>
  <c r="H77" i="2"/>
  <c r="I77" i="2"/>
  <c r="A78" i="2"/>
  <c r="B78" i="2"/>
  <c r="C78" i="2"/>
  <c r="D78" i="2"/>
  <c r="E78" i="2"/>
  <c r="F78" i="2"/>
  <c r="G78" i="2"/>
  <c r="H78" i="2"/>
  <c r="I78" i="2"/>
  <c r="A79" i="2"/>
  <c r="B79" i="2"/>
  <c r="C79" i="2"/>
  <c r="D79" i="2"/>
  <c r="E79" i="2"/>
  <c r="F79" i="2"/>
  <c r="G79" i="2"/>
  <c r="H79" i="2"/>
  <c r="I79" i="2"/>
  <c r="A80" i="2"/>
  <c r="B80" i="2"/>
  <c r="C80" i="2"/>
  <c r="D80" i="2"/>
  <c r="E80" i="2"/>
  <c r="F80" i="2"/>
  <c r="G80" i="2"/>
  <c r="H80" i="2"/>
  <c r="I80" i="2"/>
  <c r="A81" i="2"/>
  <c r="B81" i="2"/>
  <c r="C81" i="2"/>
  <c r="D81" i="2"/>
  <c r="E81" i="2"/>
  <c r="F81" i="2"/>
  <c r="G81" i="2"/>
  <c r="H81" i="2"/>
  <c r="I81" i="2"/>
  <c r="A82" i="2"/>
  <c r="B82" i="2"/>
  <c r="C82" i="2"/>
  <c r="D82" i="2"/>
  <c r="E82" i="2"/>
  <c r="F82" i="2"/>
  <c r="G82" i="2"/>
  <c r="H82" i="2"/>
  <c r="I82" i="2"/>
  <c r="A83" i="2"/>
  <c r="B83" i="2"/>
  <c r="C83" i="2"/>
  <c r="D83" i="2"/>
  <c r="E83" i="2"/>
  <c r="F83" i="2"/>
  <c r="G83" i="2"/>
  <c r="H83" i="2"/>
  <c r="I83" i="2"/>
  <c r="A84" i="2"/>
  <c r="B84" i="2"/>
  <c r="C84" i="2"/>
  <c r="D84" i="2"/>
  <c r="E84" i="2"/>
  <c r="F84" i="2"/>
  <c r="G84" i="2"/>
  <c r="H84" i="2"/>
  <c r="I84" i="2"/>
  <c r="A85" i="2"/>
  <c r="B85" i="2"/>
  <c r="C85" i="2"/>
  <c r="D85" i="2"/>
  <c r="E85" i="2"/>
  <c r="F85" i="2"/>
  <c r="G85" i="2"/>
  <c r="H85" i="2"/>
  <c r="I85" i="2"/>
  <c r="A86" i="2"/>
  <c r="B86" i="2"/>
  <c r="C86" i="2"/>
  <c r="D86" i="2"/>
  <c r="E86" i="2"/>
  <c r="F86" i="2"/>
  <c r="G86" i="2"/>
  <c r="H86" i="2"/>
  <c r="I86" i="2"/>
  <c r="A87" i="2"/>
  <c r="B87" i="2"/>
  <c r="C87" i="2"/>
  <c r="D87" i="2"/>
  <c r="E87" i="2"/>
  <c r="F87" i="2"/>
  <c r="G87" i="2"/>
  <c r="H87" i="2"/>
  <c r="I87" i="2"/>
  <c r="A88" i="2"/>
  <c r="B88" i="2"/>
  <c r="C88" i="2"/>
  <c r="D88" i="2"/>
  <c r="E88" i="2"/>
  <c r="F88" i="2"/>
  <c r="G88" i="2"/>
  <c r="H88" i="2"/>
  <c r="I88" i="2"/>
  <c r="A89" i="2"/>
  <c r="B89" i="2"/>
  <c r="C89" i="2"/>
  <c r="D89" i="2"/>
  <c r="E89" i="2"/>
  <c r="F89" i="2"/>
  <c r="G89" i="2"/>
  <c r="H89" i="2"/>
  <c r="I89" i="2"/>
  <c r="A90" i="2"/>
  <c r="B90" i="2"/>
  <c r="C90" i="2"/>
  <c r="D90" i="2"/>
  <c r="E90" i="2"/>
  <c r="F90" i="2"/>
  <c r="G90" i="2"/>
  <c r="H90" i="2"/>
  <c r="I90" i="2"/>
  <c r="A91" i="2"/>
  <c r="B91" i="2"/>
  <c r="C91" i="2"/>
  <c r="D91" i="2"/>
  <c r="E91" i="2"/>
  <c r="F91" i="2"/>
  <c r="G91" i="2"/>
  <c r="H91" i="2"/>
  <c r="I91" i="2"/>
  <c r="A92" i="2"/>
  <c r="B92" i="2"/>
  <c r="C92" i="2"/>
  <c r="D92" i="2"/>
  <c r="E92" i="2"/>
  <c r="F92" i="2"/>
  <c r="G92" i="2"/>
  <c r="H92" i="2"/>
  <c r="I92" i="2"/>
  <c r="A93" i="2"/>
  <c r="B93" i="2"/>
  <c r="C93" i="2"/>
  <c r="D93" i="2"/>
  <c r="E93" i="2"/>
  <c r="F93" i="2"/>
  <c r="G93" i="2"/>
  <c r="H93" i="2"/>
  <c r="I93" i="2"/>
  <c r="A94" i="2"/>
  <c r="B94" i="2"/>
  <c r="C94" i="2"/>
  <c r="D94" i="2"/>
  <c r="E94" i="2"/>
  <c r="F94" i="2"/>
  <c r="G94" i="2"/>
  <c r="H94" i="2"/>
  <c r="I94" i="2"/>
  <c r="A95" i="2"/>
  <c r="B95" i="2"/>
  <c r="C95" i="2"/>
  <c r="D95" i="2"/>
  <c r="E95" i="2"/>
  <c r="F95" i="2"/>
  <c r="G95" i="2"/>
  <c r="H95" i="2"/>
  <c r="I95" i="2"/>
  <c r="A96" i="2"/>
  <c r="B96" i="2"/>
  <c r="C96" i="2"/>
  <c r="D96" i="2"/>
  <c r="E96" i="2"/>
  <c r="F96" i="2"/>
  <c r="G96" i="2"/>
  <c r="H96" i="2"/>
  <c r="I96" i="2"/>
  <c r="A97" i="2"/>
  <c r="B97" i="2"/>
  <c r="C97" i="2"/>
  <c r="D97" i="2"/>
  <c r="E97" i="2"/>
  <c r="F97" i="2"/>
  <c r="G97" i="2"/>
  <c r="H97" i="2"/>
  <c r="I97" i="2"/>
  <c r="A98" i="2"/>
  <c r="B98" i="2"/>
  <c r="C98" i="2"/>
  <c r="D98" i="2"/>
  <c r="E98" i="2"/>
  <c r="F98" i="2"/>
  <c r="G98" i="2"/>
  <c r="H98" i="2"/>
  <c r="I98" i="2"/>
  <c r="A99" i="2"/>
  <c r="B99" i="2"/>
  <c r="C99" i="2"/>
  <c r="D99" i="2"/>
  <c r="E99" i="2"/>
  <c r="F99" i="2"/>
  <c r="G99" i="2"/>
  <c r="H99" i="2"/>
  <c r="I99" i="2"/>
  <c r="A100" i="2"/>
  <c r="B100" i="2"/>
  <c r="C100" i="2"/>
  <c r="D100" i="2"/>
  <c r="E100" i="2"/>
  <c r="F100" i="2"/>
  <c r="G100" i="2"/>
  <c r="H100" i="2"/>
  <c r="I100" i="2"/>
  <c r="A101" i="2"/>
  <c r="B101" i="2"/>
  <c r="C101" i="2"/>
  <c r="D101" i="2"/>
  <c r="E101" i="2"/>
  <c r="F101" i="2"/>
  <c r="G101" i="2"/>
  <c r="H101" i="2"/>
  <c r="I101" i="2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2" i="3"/>
  <c r="U92" i="3" l="1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94" i="3"/>
  <c r="U99" i="3"/>
  <c r="U98" i="3"/>
  <c r="U97" i="3"/>
  <c r="U48" i="3"/>
  <c r="U47" i="3"/>
  <c r="U46" i="3"/>
  <c r="U45" i="3"/>
  <c r="U44" i="3"/>
  <c r="U43" i="3"/>
  <c r="U42" i="3"/>
  <c r="U41" i="3"/>
  <c r="U40" i="3"/>
  <c r="U39" i="3"/>
  <c r="U37" i="3"/>
  <c r="U100" i="3"/>
  <c r="U96" i="3"/>
  <c r="U95" i="3"/>
  <c r="U78" i="3"/>
  <c r="U38" i="3"/>
  <c r="U101" i="3"/>
  <c r="U93" i="3"/>
  <c r="C103" i="7"/>
  <c r="C99" i="7"/>
  <c r="C95" i="7"/>
  <c r="C91" i="7"/>
  <c r="C87" i="7"/>
  <c r="C83" i="7"/>
  <c r="C79" i="7"/>
  <c r="C75" i="7"/>
  <c r="C71" i="7"/>
  <c r="C67" i="7"/>
  <c r="C63" i="7"/>
  <c r="C59" i="7"/>
  <c r="C55" i="7"/>
  <c r="C51" i="7"/>
  <c r="C47" i="7"/>
  <c r="C43" i="7"/>
  <c r="C102" i="7"/>
  <c r="C94" i="7"/>
  <c r="C90" i="7"/>
  <c r="C86" i="7"/>
  <c r="C82" i="7"/>
  <c r="C78" i="7"/>
  <c r="C74" i="7"/>
  <c r="C70" i="7"/>
  <c r="C66" i="7"/>
  <c r="C62" i="7"/>
  <c r="C58" i="7"/>
  <c r="C54" i="7"/>
  <c r="C50" i="7"/>
  <c r="C46" i="7"/>
  <c r="C105" i="7"/>
  <c r="C101" i="7"/>
  <c r="C97" i="7"/>
  <c r="C93" i="7"/>
  <c r="C89" i="7"/>
  <c r="C85" i="7"/>
  <c r="C81" i="7"/>
  <c r="C77" i="7"/>
  <c r="C73" i="7"/>
  <c r="C69" i="7"/>
  <c r="C65" i="7"/>
  <c r="C61" i="7"/>
  <c r="C57" i="7"/>
  <c r="C53" i="7"/>
  <c r="C49" i="7"/>
  <c r="C45" i="7"/>
  <c r="C104" i="7"/>
  <c r="C100" i="7"/>
  <c r="C96" i="7"/>
  <c r="C92" i="7"/>
  <c r="C88" i="7"/>
  <c r="C84" i="7"/>
  <c r="C80" i="7"/>
  <c r="C76" i="7"/>
  <c r="C72" i="7"/>
  <c r="C68" i="7"/>
  <c r="C64" i="7"/>
  <c r="C60" i="7"/>
  <c r="C56" i="7"/>
  <c r="C52" i="7"/>
  <c r="C48" i="7"/>
  <c r="C44" i="7"/>
  <c r="G6" i="4"/>
  <c r="H6" i="4" s="1"/>
  <c r="B8" i="4"/>
  <c r="B2" i="12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  <c r="L1" i="4"/>
  <c r="L42" i="4" s="1"/>
  <c r="E5" i="4"/>
  <c r="E4" i="4"/>
  <c r="L3" i="3"/>
  <c r="P3" i="3" s="1"/>
  <c r="L4" i="3"/>
  <c r="P4" i="3" s="1"/>
  <c r="L5" i="3"/>
  <c r="P5" i="3" s="1"/>
  <c r="L6" i="3"/>
  <c r="P6" i="3" s="1"/>
  <c r="L7" i="3"/>
  <c r="P7" i="3" s="1"/>
  <c r="L8" i="3"/>
  <c r="P8" i="3" s="1"/>
  <c r="L9" i="3"/>
  <c r="P9" i="3" s="1"/>
  <c r="L10" i="3"/>
  <c r="P10" i="3" s="1"/>
  <c r="L11" i="3"/>
  <c r="P11" i="3" s="1"/>
  <c r="L12" i="3"/>
  <c r="P12" i="3" s="1"/>
  <c r="L13" i="3"/>
  <c r="P13" i="3" s="1"/>
  <c r="L14" i="3"/>
  <c r="P14" i="3" s="1"/>
  <c r="L15" i="3"/>
  <c r="P15" i="3" s="1"/>
  <c r="L16" i="3"/>
  <c r="P16" i="3" s="1"/>
  <c r="L17" i="3"/>
  <c r="P17" i="3" s="1"/>
  <c r="L18" i="3"/>
  <c r="P18" i="3" s="1"/>
  <c r="L19" i="3"/>
  <c r="P19" i="3" s="1"/>
  <c r="L20" i="3"/>
  <c r="P20" i="3" s="1"/>
  <c r="L21" i="3"/>
  <c r="P21" i="3" s="1"/>
  <c r="L22" i="3"/>
  <c r="P22" i="3" s="1"/>
  <c r="L23" i="3"/>
  <c r="P23" i="3" s="1"/>
  <c r="L24" i="3"/>
  <c r="P24" i="3" s="1"/>
  <c r="L25" i="3"/>
  <c r="P25" i="3" s="1"/>
  <c r="L26" i="3"/>
  <c r="P26" i="3" s="1"/>
  <c r="L27" i="3"/>
  <c r="P27" i="3" s="1"/>
  <c r="L28" i="3"/>
  <c r="P28" i="3" s="1"/>
  <c r="L29" i="3"/>
  <c r="P29" i="3" s="1"/>
  <c r="L30" i="3"/>
  <c r="P30" i="3" s="1"/>
  <c r="L31" i="3"/>
  <c r="P31" i="3" s="1"/>
  <c r="L32" i="3"/>
  <c r="P32" i="3" s="1"/>
  <c r="L33" i="3"/>
  <c r="P33" i="3" s="1"/>
  <c r="L34" i="3"/>
  <c r="P34" i="3" s="1"/>
  <c r="L35" i="3"/>
  <c r="P35" i="3" s="1"/>
  <c r="C2" i="8"/>
  <c r="A6" i="12"/>
  <c r="H14" i="2"/>
  <c r="G1" i="2"/>
  <c r="E1" i="2"/>
  <c r="D1" i="2"/>
  <c r="C1" i="2"/>
  <c r="A1" i="2"/>
  <c r="A7" i="12"/>
  <c r="B7" i="12"/>
  <c r="H7" i="12"/>
  <c r="I7" i="12"/>
  <c r="J7" i="12"/>
  <c r="K7" i="12"/>
  <c r="M7" i="12"/>
  <c r="N7" i="12"/>
  <c r="A8" i="12"/>
  <c r="B8" i="12"/>
  <c r="H8" i="12"/>
  <c r="I8" i="12"/>
  <c r="J8" i="12"/>
  <c r="K8" i="12"/>
  <c r="M8" i="12"/>
  <c r="N8" i="12"/>
  <c r="A9" i="12"/>
  <c r="B9" i="12"/>
  <c r="H9" i="12"/>
  <c r="I9" i="12"/>
  <c r="J9" i="12"/>
  <c r="K9" i="12"/>
  <c r="M9" i="12"/>
  <c r="N9" i="12"/>
  <c r="A10" i="12"/>
  <c r="B10" i="12"/>
  <c r="H10" i="12"/>
  <c r="I10" i="12"/>
  <c r="J10" i="12"/>
  <c r="K10" i="12"/>
  <c r="M10" i="12"/>
  <c r="N10" i="12"/>
  <c r="A11" i="12"/>
  <c r="B11" i="12"/>
  <c r="H11" i="12"/>
  <c r="I11" i="12"/>
  <c r="J11" i="12"/>
  <c r="K11" i="12"/>
  <c r="M11" i="12"/>
  <c r="N11" i="12"/>
  <c r="A12" i="12"/>
  <c r="B12" i="12"/>
  <c r="H12" i="12"/>
  <c r="I12" i="12"/>
  <c r="J12" i="12"/>
  <c r="K12" i="12"/>
  <c r="M12" i="12"/>
  <c r="N12" i="12"/>
  <c r="A13" i="12"/>
  <c r="B13" i="12"/>
  <c r="H13" i="12"/>
  <c r="I13" i="12"/>
  <c r="J13" i="12"/>
  <c r="K13" i="12"/>
  <c r="M13" i="12"/>
  <c r="N13" i="12"/>
  <c r="A14" i="12"/>
  <c r="B14" i="12"/>
  <c r="H14" i="12"/>
  <c r="I14" i="12"/>
  <c r="J14" i="12"/>
  <c r="K14" i="12"/>
  <c r="M14" i="12"/>
  <c r="N14" i="12"/>
  <c r="A15" i="12"/>
  <c r="B15" i="12"/>
  <c r="H15" i="12"/>
  <c r="I15" i="12"/>
  <c r="J15" i="12"/>
  <c r="K15" i="12"/>
  <c r="M15" i="12"/>
  <c r="N15" i="12"/>
  <c r="A16" i="12"/>
  <c r="B16" i="12"/>
  <c r="H16" i="12"/>
  <c r="I16" i="12"/>
  <c r="J16" i="12"/>
  <c r="K16" i="12"/>
  <c r="M16" i="12"/>
  <c r="N16" i="12"/>
  <c r="A17" i="12"/>
  <c r="B17" i="12"/>
  <c r="H17" i="12"/>
  <c r="I17" i="12"/>
  <c r="J17" i="12"/>
  <c r="K17" i="12"/>
  <c r="M17" i="12"/>
  <c r="N17" i="12"/>
  <c r="A18" i="12"/>
  <c r="B18" i="12"/>
  <c r="H18" i="12"/>
  <c r="I18" i="12"/>
  <c r="J18" i="12"/>
  <c r="K18" i="12"/>
  <c r="M18" i="12"/>
  <c r="N18" i="12"/>
  <c r="A19" i="12"/>
  <c r="B19" i="12"/>
  <c r="H19" i="12"/>
  <c r="I19" i="12"/>
  <c r="J19" i="12"/>
  <c r="K19" i="12"/>
  <c r="M19" i="12"/>
  <c r="N19" i="12"/>
  <c r="A20" i="12"/>
  <c r="B20" i="12"/>
  <c r="H20" i="12"/>
  <c r="I20" i="12"/>
  <c r="J20" i="12"/>
  <c r="K20" i="12"/>
  <c r="M20" i="12"/>
  <c r="N20" i="12"/>
  <c r="A21" i="12"/>
  <c r="B21" i="12"/>
  <c r="H21" i="12"/>
  <c r="I21" i="12"/>
  <c r="J21" i="12"/>
  <c r="K21" i="12"/>
  <c r="M21" i="12"/>
  <c r="N21" i="12"/>
  <c r="A22" i="12"/>
  <c r="B22" i="12"/>
  <c r="H22" i="12"/>
  <c r="I22" i="12"/>
  <c r="J22" i="12"/>
  <c r="K22" i="12"/>
  <c r="M22" i="12"/>
  <c r="N22" i="12"/>
  <c r="A23" i="12"/>
  <c r="B23" i="12"/>
  <c r="H23" i="12"/>
  <c r="I23" i="12"/>
  <c r="J23" i="12"/>
  <c r="K23" i="12"/>
  <c r="M23" i="12"/>
  <c r="N23" i="12"/>
  <c r="A24" i="12"/>
  <c r="B24" i="12"/>
  <c r="H24" i="12"/>
  <c r="I24" i="12"/>
  <c r="J24" i="12"/>
  <c r="K24" i="12"/>
  <c r="M24" i="12"/>
  <c r="N24" i="12"/>
  <c r="A25" i="12"/>
  <c r="B25" i="12"/>
  <c r="H25" i="12"/>
  <c r="I25" i="12"/>
  <c r="J25" i="12"/>
  <c r="K25" i="12"/>
  <c r="M25" i="12"/>
  <c r="N25" i="12"/>
  <c r="A26" i="12"/>
  <c r="B26" i="12"/>
  <c r="H26" i="12"/>
  <c r="I26" i="12"/>
  <c r="J26" i="12"/>
  <c r="K26" i="12"/>
  <c r="M26" i="12"/>
  <c r="N26" i="12"/>
  <c r="A27" i="12"/>
  <c r="B27" i="12"/>
  <c r="H27" i="12"/>
  <c r="I27" i="12"/>
  <c r="J27" i="12"/>
  <c r="K27" i="12"/>
  <c r="M27" i="12"/>
  <c r="N27" i="12"/>
  <c r="A28" i="12"/>
  <c r="B28" i="12"/>
  <c r="H28" i="12"/>
  <c r="I28" i="12"/>
  <c r="J28" i="12"/>
  <c r="K28" i="12"/>
  <c r="M28" i="12"/>
  <c r="N28" i="12"/>
  <c r="A29" i="12"/>
  <c r="B29" i="12"/>
  <c r="H29" i="12"/>
  <c r="I29" i="12"/>
  <c r="J29" i="12"/>
  <c r="K29" i="12"/>
  <c r="M29" i="12"/>
  <c r="N29" i="12"/>
  <c r="A30" i="12"/>
  <c r="B30" i="12"/>
  <c r="H30" i="12"/>
  <c r="I30" i="12"/>
  <c r="J30" i="12"/>
  <c r="K30" i="12"/>
  <c r="M30" i="12"/>
  <c r="N30" i="12"/>
  <c r="A31" i="12"/>
  <c r="B31" i="12"/>
  <c r="H31" i="12"/>
  <c r="I31" i="12"/>
  <c r="J31" i="12"/>
  <c r="K31" i="12"/>
  <c r="M31" i="12"/>
  <c r="N31" i="12"/>
  <c r="A32" i="12"/>
  <c r="B32" i="12"/>
  <c r="H32" i="12"/>
  <c r="I32" i="12"/>
  <c r="J32" i="12"/>
  <c r="K32" i="12"/>
  <c r="M32" i="12"/>
  <c r="N32" i="12"/>
  <c r="A33" i="12"/>
  <c r="B33" i="12"/>
  <c r="H33" i="12"/>
  <c r="I33" i="12"/>
  <c r="J33" i="12"/>
  <c r="K33" i="12"/>
  <c r="M33" i="12"/>
  <c r="N33" i="12"/>
  <c r="A34" i="12"/>
  <c r="B34" i="12"/>
  <c r="H34" i="12"/>
  <c r="I34" i="12"/>
  <c r="J34" i="12"/>
  <c r="K34" i="12"/>
  <c r="M34" i="12"/>
  <c r="N34" i="12"/>
  <c r="A35" i="12"/>
  <c r="B35" i="12"/>
  <c r="H35" i="12"/>
  <c r="I35" i="12"/>
  <c r="J35" i="12"/>
  <c r="K35" i="12"/>
  <c r="M35" i="12"/>
  <c r="N35" i="12"/>
  <c r="A36" i="12"/>
  <c r="B36" i="12"/>
  <c r="H36" i="12"/>
  <c r="I36" i="12"/>
  <c r="J36" i="12"/>
  <c r="K36" i="12"/>
  <c r="M36" i="12"/>
  <c r="N36" i="12"/>
  <c r="A37" i="12"/>
  <c r="B37" i="12"/>
  <c r="H37" i="12"/>
  <c r="I37" i="12"/>
  <c r="J37" i="12"/>
  <c r="K37" i="12"/>
  <c r="M37" i="12"/>
  <c r="N37" i="12"/>
  <c r="A38" i="12"/>
  <c r="B38" i="12"/>
  <c r="H38" i="12"/>
  <c r="I38" i="12"/>
  <c r="J38" i="12"/>
  <c r="K38" i="12"/>
  <c r="M38" i="12"/>
  <c r="N38" i="12"/>
  <c r="N6" i="12"/>
  <c r="M6" i="12"/>
  <c r="K6" i="12"/>
  <c r="J6" i="12"/>
  <c r="I6" i="12"/>
  <c r="H6" i="12"/>
  <c r="B6" i="12"/>
  <c r="B3" i="12"/>
  <c r="A3" i="5"/>
  <c r="B3" i="5"/>
  <c r="C3" i="5"/>
  <c r="D3" i="5"/>
  <c r="E3" i="5"/>
  <c r="G3" i="5"/>
  <c r="I3" i="5"/>
  <c r="J3" i="5"/>
  <c r="K3" i="5"/>
  <c r="U3" i="5"/>
  <c r="X3" i="5"/>
  <c r="A4" i="5"/>
  <c r="B4" i="5"/>
  <c r="C4" i="5"/>
  <c r="D4" i="5"/>
  <c r="E4" i="5"/>
  <c r="G4" i="5"/>
  <c r="I4" i="5"/>
  <c r="J4" i="5"/>
  <c r="K4" i="5"/>
  <c r="U4" i="5"/>
  <c r="X4" i="5"/>
  <c r="A5" i="5"/>
  <c r="B5" i="5"/>
  <c r="C5" i="5"/>
  <c r="D5" i="5"/>
  <c r="E5" i="5"/>
  <c r="G5" i="5"/>
  <c r="I5" i="5"/>
  <c r="J5" i="5"/>
  <c r="K5" i="5"/>
  <c r="U5" i="5"/>
  <c r="X5" i="5"/>
  <c r="A6" i="5"/>
  <c r="B6" i="5"/>
  <c r="C6" i="5"/>
  <c r="D6" i="5"/>
  <c r="E6" i="5"/>
  <c r="G6" i="5"/>
  <c r="I6" i="5"/>
  <c r="J6" i="5"/>
  <c r="K6" i="5"/>
  <c r="U6" i="5"/>
  <c r="X6" i="5"/>
  <c r="A7" i="5"/>
  <c r="B7" i="5"/>
  <c r="C7" i="5"/>
  <c r="D7" i="5"/>
  <c r="E7" i="5"/>
  <c r="G7" i="5"/>
  <c r="I7" i="5"/>
  <c r="J7" i="5"/>
  <c r="K7" i="5"/>
  <c r="U7" i="5"/>
  <c r="X7" i="5"/>
  <c r="A8" i="5"/>
  <c r="B8" i="5"/>
  <c r="C8" i="5"/>
  <c r="D8" i="5"/>
  <c r="E8" i="5"/>
  <c r="G8" i="5"/>
  <c r="I8" i="5"/>
  <c r="J8" i="5"/>
  <c r="K8" i="5"/>
  <c r="U8" i="5"/>
  <c r="X8" i="5"/>
  <c r="A9" i="5"/>
  <c r="B9" i="5"/>
  <c r="C9" i="5"/>
  <c r="D9" i="5"/>
  <c r="E9" i="5"/>
  <c r="G9" i="5"/>
  <c r="I9" i="5"/>
  <c r="J9" i="5"/>
  <c r="K9" i="5"/>
  <c r="U9" i="5"/>
  <c r="X9" i="5"/>
  <c r="A10" i="5"/>
  <c r="B10" i="5"/>
  <c r="C10" i="5"/>
  <c r="D10" i="5"/>
  <c r="E10" i="5"/>
  <c r="G10" i="5"/>
  <c r="I10" i="5"/>
  <c r="J10" i="5"/>
  <c r="K10" i="5"/>
  <c r="U10" i="5"/>
  <c r="X10" i="5"/>
  <c r="A11" i="5"/>
  <c r="B11" i="5"/>
  <c r="C11" i="5"/>
  <c r="D11" i="5"/>
  <c r="E11" i="5"/>
  <c r="G11" i="5"/>
  <c r="I11" i="5"/>
  <c r="J11" i="5"/>
  <c r="K11" i="5"/>
  <c r="U11" i="5"/>
  <c r="X11" i="5"/>
  <c r="A12" i="5"/>
  <c r="B12" i="5"/>
  <c r="C12" i="5"/>
  <c r="D12" i="5"/>
  <c r="E12" i="5"/>
  <c r="G12" i="5"/>
  <c r="I12" i="5"/>
  <c r="J12" i="5"/>
  <c r="K12" i="5"/>
  <c r="U12" i="5"/>
  <c r="X12" i="5"/>
  <c r="A13" i="5"/>
  <c r="B13" i="5"/>
  <c r="C13" i="5"/>
  <c r="D13" i="5"/>
  <c r="E13" i="5"/>
  <c r="G13" i="5"/>
  <c r="I13" i="5"/>
  <c r="J13" i="5"/>
  <c r="K13" i="5"/>
  <c r="U13" i="5"/>
  <c r="X13" i="5"/>
  <c r="A14" i="5"/>
  <c r="B14" i="5"/>
  <c r="C14" i="5"/>
  <c r="D14" i="5"/>
  <c r="E14" i="5"/>
  <c r="G14" i="5"/>
  <c r="I14" i="5"/>
  <c r="J14" i="5"/>
  <c r="K14" i="5"/>
  <c r="U14" i="5"/>
  <c r="X14" i="5"/>
  <c r="A15" i="5"/>
  <c r="B15" i="5"/>
  <c r="C15" i="5"/>
  <c r="D15" i="5"/>
  <c r="E15" i="5"/>
  <c r="G15" i="5"/>
  <c r="I15" i="5"/>
  <c r="J15" i="5"/>
  <c r="K15" i="5"/>
  <c r="U15" i="5"/>
  <c r="X15" i="5"/>
  <c r="A16" i="5"/>
  <c r="B16" i="5"/>
  <c r="C16" i="5"/>
  <c r="D16" i="5"/>
  <c r="E16" i="5"/>
  <c r="G16" i="5"/>
  <c r="I16" i="5"/>
  <c r="J16" i="5"/>
  <c r="K16" i="5"/>
  <c r="U16" i="5"/>
  <c r="X16" i="5"/>
  <c r="A17" i="5"/>
  <c r="B17" i="5"/>
  <c r="C17" i="5"/>
  <c r="D17" i="5"/>
  <c r="E17" i="5"/>
  <c r="G17" i="5"/>
  <c r="I17" i="5"/>
  <c r="J17" i="5"/>
  <c r="K17" i="5"/>
  <c r="U17" i="5"/>
  <c r="X17" i="5"/>
  <c r="A18" i="5"/>
  <c r="B18" i="5"/>
  <c r="C18" i="5"/>
  <c r="D18" i="5"/>
  <c r="E18" i="5"/>
  <c r="G18" i="5"/>
  <c r="I18" i="5"/>
  <c r="J18" i="5"/>
  <c r="K18" i="5"/>
  <c r="U18" i="5"/>
  <c r="X18" i="5"/>
  <c r="A19" i="5"/>
  <c r="B19" i="5"/>
  <c r="C19" i="5"/>
  <c r="D19" i="5"/>
  <c r="E19" i="5"/>
  <c r="G19" i="5"/>
  <c r="I19" i="5"/>
  <c r="J19" i="5"/>
  <c r="K19" i="5"/>
  <c r="U19" i="5"/>
  <c r="X19" i="5"/>
  <c r="A20" i="5"/>
  <c r="B20" i="5"/>
  <c r="C20" i="5"/>
  <c r="D20" i="5"/>
  <c r="E20" i="5"/>
  <c r="G20" i="5"/>
  <c r="I20" i="5"/>
  <c r="J20" i="5"/>
  <c r="K20" i="5"/>
  <c r="U20" i="5"/>
  <c r="X20" i="5"/>
  <c r="A21" i="5"/>
  <c r="B21" i="5"/>
  <c r="C21" i="5"/>
  <c r="D21" i="5"/>
  <c r="E21" i="5"/>
  <c r="G21" i="5"/>
  <c r="I21" i="5"/>
  <c r="J21" i="5"/>
  <c r="K21" i="5"/>
  <c r="U21" i="5"/>
  <c r="X21" i="5"/>
  <c r="A22" i="5"/>
  <c r="B22" i="5"/>
  <c r="C22" i="5"/>
  <c r="D22" i="5"/>
  <c r="E22" i="5"/>
  <c r="G22" i="5"/>
  <c r="I22" i="5"/>
  <c r="J22" i="5"/>
  <c r="K22" i="5"/>
  <c r="U22" i="5"/>
  <c r="X22" i="5"/>
  <c r="C2" i="5"/>
  <c r="A2" i="5"/>
  <c r="X2" i="5"/>
  <c r="V2" i="5"/>
  <c r="U2" i="5"/>
  <c r="K2" i="5"/>
  <c r="J2" i="5"/>
  <c r="I2" i="5"/>
  <c r="G2" i="5"/>
  <c r="E2" i="5"/>
  <c r="D2" i="5"/>
  <c r="B2" i="5"/>
  <c r="C4" i="8"/>
  <c r="C3" i="8"/>
  <c r="L43" i="4" l="1"/>
  <c r="L107" i="4"/>
  <c r="L99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T36" i="3"/>
  <c r="U36" i="3" s="1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C8" i="4"/>
  <c r="D8" i="4"/>
  <c r="E8" i="4"/>
  <c r="F8" i="4"/>
  <c r="L8" i="4" s="1"/>
  <c r="G8" i="4"/>
  <c r="B9" i="4"/>
  <c r="C9" i="4"/>
  <c r="D9" i="4"/>
  <c r="E9" i="4"/>
  <c r="F9" i="4"/>
  <c r="G9" i="4"/>
  <c r="B10" i="4"/>
  <c r="C10" i="4"/>
  <c r="D10" i="4"/>
  <c r="E10" i="4"/>
  <c r="F10" i="4"/>
  <c r="G10" i="4"/>
  <c r="B11" i="4"/>
  <c r="C11" i="4"/>
  <c r="D11" i="4"/>
  <c r="E11" i="4"/>
  <c r="F11" i="4"/>
  <c r="G11" i="4"/>
  <c r="B12" i="4"/>
  <c r="C12" i="4"/>
  <c r="D12" i="4"/>
  <c r="E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E24" i="4"/>
  <c r="F24" i="4"/>
  <c r="G24" i="4"/>
  <c r="B25" i="4"/>
  <c r="L25" i="4" s="1"/>
  <c r="C25" i="4"/>
  <c r="D25" i="4"/>
  <c r="E25" i="4"/>
  <c r="F25" i="4"/>
  <c r="G25" i="4"/>
  <c r="B26" i="4"/>
  <c r="L26" i="4" s="1"/>
  <c r="C26" i="4"/>
  <c r="D26" i="4"/>
  <c r="E26" i="4"/>
  <c r="F26" i="4"/>
  <c r="G26" i="4"/>
  <c r="B27" i="4"/>
  <c r="L27" i="4" s="1"/>
  <c r="C27" i="4"/>
  <c r="D27" i="4"/>
  <c r="E27" i="4"/>
  <c r="F27" i="4"/>
  <c r="G27" i="4"/>
  <c r="B28" i="4"/>
  <c r="C28" i="4"/>
  <c r="D28" i="4"/>
  <c r="E28" i="4"/>
  <c r="F28" i="4"/>
  <c r="G28" i="4"/>
  <c r="B29" i="4"/>
  <c r="L29" i="4" s="1"/>
  <c r="C29" i="4"/>
  <c r="D29" i="4"/>
  <c r="E29" i="4"/>
  <c r="F29" i="4"/>
  <c r="G29" i="4"/>
  <c r="B30" i="4"/>
  <c r="L30" i="4" s="1"/>
  <c r="C30" i="4"/>
  <c r="D30" i="4"/>
  <c r="E30" i="4"/>
  <c r="F30" i="4"/>
  <c r="G30" i="4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7" i="7"/>
  <c r="A2" i="3"/>
  <c r="B2" i="3"/>
  <c r="D2" i="3"/>
  <c r="F2" i="3"/>
  <c r="G2" i="3"/>
  <c r="H2" i="3"/>
  <c r="I2" i="3"/>
  <c r="J2" i="3"/>
  <c r="K2" i="3"/>
  <c r="L2" i="3"/>
  <c r="P2" i="3" s="1"/>
  <c r="M2" i="3"/>
  <c r="N2" i="3"/>
  <c r="O2" i="3"/>
  <c r="A3" i="3"/>
  <c r="B3" i="3"/>
  <c r="D3" i="3"/>
  <c r="F3" i="3"/>
  <c r="G3" i="3"/>
  <c r="H3" i="3"/>
  <c r="I3" i="3"/>
  <c r="J3" i="3"/>
  <c r="K3" i="3"/>
  <c r="M3" i="3"/>
  <c r="N3" i="3"/>
  <c r="O3" i="3"/>
  <c r="A4" i="3"/>
  <c r="B4" i="3"/>
  <c r="D4" i="3"/>
  <c r="F4" i="3"/>
  <c r="G4" i="3"/>
  <c r="H4" i="3"/>
  <c r="I4" i="3"/>
  <c r="J4" i="3"/>
  <c r="K4" i="3"/>
  <c r="M4" i="3"/>
  <c r="N4" i="3"/>
  <c r="O4" i="3"/>
  <c r="A5" i="3"/>
  <c r="B5" i="3"/>
  <c r="D5" i="3"/>
  <c r="F5" i="3"/>
  <c r="G5" i="3"/>
  <c r="H5" i="3"/>
  <c r="I5" i="3"/>
  <c r="J5" i="3"/>
  <c r="K5" i="3"/>
  <c r="M5" i="3"/>
  <c r="N5" i="3"/>
  <c r="O5" i="3"/>
  <c r="A6" i="3"/>
  <c r="B6" i="3"/>
  <c r="D6" i="3"/>
  <c r="F6" i="3"/>
  <c r="G6" i="3"/>
  <c r="H6" i="3"/>
  <c r="I6" i="3"/>
  <c r="J6" i="3"/>
  <c r="K6" i="3"/>
  <c r="M6" i="3"/>
  <c r="N6" i="3"/>
  <c r="O6" i="3"/>
  <c r="A7" i="3"/>
  <c r="B7" i="3"/>
  <c r="D7" i="3"/>
  <c r="F7" i="3"/>
  <c r="G7" i="3"/>
  <c r="H7" i="3"/>
  <c r="I7" i="3"/>
  <c r="J7" i="3"/>
  <c r="K7" i="3"/>
  <c r="M7" i="3"/>
  <c r="N7" i="3"/>
  <c r="O7" i="3"/>
  <c r="A8" i="3"/>
  <c r="B8" i="3"/>
  <c r="D8" i="3"/>
  <c r="F8" i="3"/>
  <c r="G8" i="3"/>
  <c r="H8" i="3"/>
  <c r="I8" i="3"/>
  <c r="J8" i="3"/>
  <c r="K8" i="3"/>
  <c r="M8" i="3"/>
  <c r="N8" i="3"/>
  <c r="O8" i="3"/>
  <c r="A9" i="3"/>
  <c r="B9" i="3"/>
  <c r="D9" i="3"/>
  <c r="F9" i="3"/>
  <c r="G9" i="3"/>
  <c r="H9" i="3"/>
  <c r="I9" i="3"/>
  <c r="J9" i="3"/>
  <c r="K9" i="3"/>
  <c r="M9" i="3"/>
  <c r="N9" i="3"/>
  <c r="O9" i="3"/>
  <c r="A10" i="3"/>
  <c r="B10" i="3"/>
  <c r="D10" i="3"/>
  <c r="F10" i="3"/>
  <c r="G10" i="3"/>
  <c r="H10" i="3"/>
  <c r="I10" i="3"/>
  <c r="J10" i="3"/>
  <c r="K10" i="3"/>
  <c r="M10" i="3"/>
  <c r="N10" i="3"/>
  <c r="O10" i="3"/>
  <c r="A11" i="3"/>
  <c r="B11" i="3"/>
  <c r="D11" i="3"/>
  <c r="F11" i="3"/>
  <c r="G11" i="3"/>
  <c r="H11" i="3"/>
  <c r="I11" i="3"/>
  <c r="J11" i="3"/>
  <c r="K11" i="3"/>
  <c r="M11" i="3"/>
  <c r="N11" i="3"/>
  <c r="O11" i="3"/>
  <c r="A12" i="3"/>
  <c r="B12" i="3"/>
  <c r="D12" i="3"/>
  <c r="F12" i="3"/>
  <c r="G12" i="3"/>
  <c r="H12" i="3"/>
  <c r="I12" i="3"/>
  <c r="J12" i="3"/>
  <c r="K12" i="3"/>
  <c r="M12" i="3"/>
  <c r="N12" i="3"/>
  <c r="O12" i="3"/>
  <c r="A13" i="3"/>
  <c r="B13" i="3"/>
  <c r="D13" i="3"/>
  <c r="F13" i="3"/>
  <c r="G13" i="3"/>
  <c r="H13" i="3"/>
  <c r="I13" i="3"/>
  <c r="J13" i="3"/>
  <c r="K13" i="3"/>
  <c r="M13" i="3"/>
  <c r="N13" i="3"/>
  <c r="O13" i="3"/>
  <c r="A14" i="3"/>
  <c r="B14" i="3"/>
  <c r="D14" i="3"/>
  <c r="F14" i="3"/>
  <c r="G14" i="3"/>
  <c r="H14" i="3"/>
  <c r="I14" i="3"/>
  <c r="J14" i="3"/>
  <c r="K14" i="3"/>
  <c r="M14" i="3"/>
  <c r="N14" i="3"/>
  <c r="O14" i="3"/>
  <c r="A15" i="3"/>
  <c r="B15" i="3"/>
  <c r="D15" i="3"/>
  <c r="F15" i="3"/>
  <c r="G15" i="3"/>
  <c r="H15" i="3"/>
  <c r="I15" i="3"/>
  <c r="J15" i="3"/>
  <c r="K15" i="3"/>
  <c r="M15" i="3"/>
  <c r="N15" i="3"/>
  <c r="O15" i="3"/>
  <c r="A16" i="3"/>
  <c r="B16" i="3"/>
  <c r="D16" i="3"/>
  <c r="F16" i="3"/>
  <c r="G16" i="3"/>
  <c r="H16" i="3"/>
  <c r="I16" i="3"/>
  <c r="J16" i="3"/>
  <c r="K16" i="3"/>
  <c r="M16" i="3"/>
  <c r="N16" i="3"/>
  <c r="O16" i="3"/>
  <c r="A17" i="3"/>
  <c r="B17" i="3"/>
  <c r="D17" i="3"/>
  <c r="F17" i="3"/>
  <c r="G17" i="3"/>
  <c r="H17" i="3"/>
  <c r="I17" i="3"/>
  <c r="J17" i="3"/>
  <c r="K17" i="3"/>
  <c r="M17" i="3"/>
  <c r="N17" i="3"/>
  <c r="O17" i="3"/>
  <c r="A18" i="3"/>
  <c r="B18" i="3"/>
  <c r="D18" i="3"/>
  <c r="F18" i="3"/>
  <c r="G18" i="3"/>
  <c r="H18" i="3"/>
  <c r="I18" i="3"/>
  <c r="J18" i="3"/>
  <c r="K18" i="3"/>
  <c r="M18" i="3"/>
  <c r="N18" i="3"/>
  <c r="O18" i="3"/>
  <c r="A19" i="3"/>
  <c r="B19" i="3"/>
  <c r="D19" i="3"/>
  <c r="F19" i="3"/>
  <c r="G19" i="3"/>
  <c r="H19" i="3"/>
  <c r="I19" i="3"/>
  <c r="J19" i="3"/>
  <c r="K19" i="3"/>
  <c r="M19" i="3"/>
  <c r="N19" i="3"/>
  <c r="O19" i="3"/>
  <c r="A20" i="3"/>
  <c r="B20" i="3"/>
  <c r="D20" i="3"/>
  <c r="F20" i="3"/>
  <c r="G20" i="3"/>
  <c r="H20" i="3"/>
  <c r="I20" i="3"/>
  <c r="J20" i="3"/>
  <c r="K20" i="3"/>
  <c r="M20" i="3"/>
  <c r="N20" i="3"/>
  <c r="O20" i="3"/>
  <c r="A21" i="3"/>
  <c r="B21" i="3"/>
  <c r="D21" i="3"/>
  <c r="F21" i="3"/>
  <c r="G21" i="3"/>
  <c r="H21" i="3"/>
  <c r="I21" i="3"/>
  <c r="J21" i="3"/>
  <c r="K21" i="3"/>
  <c r="M21" i="3"/>
  <c r="N21" i="3"/>
  <c r="O21" i="3"/>
  <c r="A22" i="3"/>
  <c r="B22" i="3"/>
  <c r="D22" i="3"/>
  <c r="F22" i="3"/>
  <c r="G22" i="3"/>
  <c r="H22" i="3"/>
  <c r="I22" i="3"/>
  <c r="J22" i="3"/>
  <c r="K22" i="3"/>
  <c r="M22" i="3"/>
  <c r="N22" i="3"/>
  <c r="O22" i="3"/>
  <c r="A23" i="3"/>
  <c r="B23" i="3"/>
  <c r="D23" i="3"/>
  <c r="F23" i="3"/>
  <c r="G23" i="3"/>
  <c r="H23" i="3"/>
  <c r="I23" i="3"/>
  <c r="J23" i="3"/>
  <c r="K23" i="3"/>
  <c r="M23" i="3"/>
  <c r="N23" i="3"/>
  <c r="O23" i="3"/>
  <c r="A24" i="3"/>
  <c r="B24" i="3"/>
  <c r="D24" i="3"/>
  <c r="F24" i="3"/>
  <c r="G24" i="3"/>
  <c r="H24" i="3"/>
  <c r="I24" i="3"/>
  <c r="J24" i="3"/>
  <c r="K24" i="3"/>
  <c r="M24" i="3"/>
  <c r="N24" i="3"/>
  <c r="O24" i="3"/>
  <c r="I9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A2" i="2"/>
  <c r="B2" i="2"/>
  <c r="C2" i="2"/>
  <c r="D2" i="2"/>
  <c r="E2" i="2"/>
  <c r="H2" i="2"/>
  <c r="I2" i="2"/>
  <c r="A3" i="2"/>
  <c r="B3" i="2"/>
  <c r="C3" i="2"/>
  <c r="D3" i="2"/>
  <c r="E3" i="2"/>
  <c r="H3" i="2"/>
  <c r="I3" i="2"/>
  <c r="A4" i="2"/>
  <c r="B4" i="2"/>
  <c r="C4" i="2"/>
  <c r="D4" i="2"/>
  <c r="E4" i="2"/>
  <c r="H4" i="2"/>
  <c r="I4" i="2"/>
  <c r="A5" i="2"/>
  <c r="B5" i="2"/>
  <c r="C5" i="2"/>
  <c r="D5" i="2"/>
  <c r="E5" i="2"/>
  <c r="H5" i="2"/>
  <c r="I5" i="2"/>
  <c r="A6" i="2"/>
  <c r="B6" i="2"/>
  <c r="C6" i="2"/>
  <c r="D6" i="2"/>
  <c r="E6" i="2"/>
  <c r="H6" i="2"/>
  <c r="I6" i="2"/>
  <c r="A7" i="2"/>
  <c r="B7" i="2"/>
  <c r="C7" i="2"/>
  <c r="D7" i="2"/>
  <c r="E7" i="2"/>
  <c r="H7" i="2"/>
  <c r="I7" i="2"/>
  <c r="A8" i="2"/>
  <c r="B8" i="2"/>
  <c r="C8" i="2"/>
  <c r="D8" i="2"/>
  <c r="E8" i="2"/>
  <c r="H8" i="2"/>
  <c r="I8" i="2"/>
  <c r="A9" i="2"/>
  <c r="B9" i="2"/>
  <c r="C9" i="2"/>
  <c r="D9" i="2"/>
  <c r="E9" i="2"/>
  <c r="H9" i="2"/>
  <c r="A10" i="2"/>
  <c r="B10" i="2"/>
  <c r="C10" i="2"/>
  <c r="D10" i="2"/>
  <c r="E10" i="2"/>
  <c r="H10" i="2"/>
  <c r="I10" i="2"/>
  <c r="A11" i="2"/>
  <c r="B11" i="2"/>
  <c r="C11" i="2"/>
  <c r="D11" i="2"/>
  <c r="E11" i="2"/>
  <c r="H11" i="2"/>
  <c r="I11" i="2"/>
  <c r="A12" i="2"/>
  <c r="B12" i="2"/>
  <c r="C12" i="2"/>
  <c r="D12" i="2"/>
  <c r="E12" i="2"/>
  <c r="H12" i="2"/>
  <c r="I12" i="2"/>
  <c r="A13" i="2"/>
  <c r="B13" i="2"/>
  <c r="C13" i="2"/>
  <c r="D13" i="2"/>
  <c r="E13" i="2"/>
  <c r="H13" i="2"/>
  <c r="I13" i="2"/>
  <c r="A14" i="2"/>
  <c r="B14" i="2"/>
  <c r="C14" i="2"/>
  <c r="D14" i="2"/>
  <c r="E14" i="2"/>
  <c r="I14" i="2"/>
  <c r="A15" i="2"/>
  <c r="B15" i="2"/>
  <c r="C15" i="2"/>
  <c r="D15" i="2"/>
  <c r="E15" i="2"/>
  <c r="H15" i="2"/>
  <c r="I15" i="2"/>
  <c r="A16" i="2"/>
  <c r="B16" i="2"/>
  <c r="C16" i="2"/>
  <c r="D16" i="2"/>
  <c r="E16" i="2"/>
  <c r="H16" i="2"/>
  <c r="I16" i="2"/>
  <c r="A17" i="2"/>
  <c r="B17" i="2"/>
  <c r="C17" i="2"/>
  <c r="D17" i="2"/>
  <c r="E17" i="2"/>
  <c r="H17" i="2"/>
  <c r="I17" i="2"/>
  <c r="A18" i="2"/>
  <c r="B18" i="2"/>
  <c r="C18" i="2"/>
  <c r="D18" i="2"/>
  <c r="E18" i="2"/>
  <c r="H18" i="2"/>
  <c r="I18" i="2"/>
  <c r="A19" i="2"/>
  <c r="B19" i="2"/>
  <c r="C19" i="2"/>
  <c r="D19" i="2"/>
  <c r="E19" i="2"/>
  <c r="H19" i="2"/>
  <c r="I19" i="2"/>
  <c r="A20" i="2"/>
  <c r="B20" i="2"/>
  <c r="C20" i="2"/>
  <c r="D20" i="2"/>
  <c r="E20" i="2"/>
  <c r="H20" i="2"/>
  <c r="I20" i="2"/>
  <c r="A21" i="2"/>
  <c r="B21" i="2"/>
  <c r="C21" i="2"/>
  <c r="D21" i="2"/>
  <c r="E21" i="2"/>
  <c r="H21" i="2"/>
  <c r="I21" i="2"/>
  <c r="A22" i="2"/>
  <c r="B22" i="2"/>
  <c r="C22" i="2"/>
  <c r="D22" i="2"/>
  <c r="E22" i="2"/>
  <c r="H22" i="2"/>
  <c r="I22" i="2"/>
  <c r="A23" i="2"/>
  <c r="B23" i="2"/>
  <c r="C23" i="2"/>
  <c r="D23" i="2"/>
  <c r="E23" i="2"/>
  <c r="H23" i="2"/>
  <c r="I23" i="2"/>
  <c r="A24" i="2"/>
  <c r="B24" i="2"/>
  <c r="C24" i="2"/>
  <c r="D24" i="2"/>
  <c r="E24" i="2"/>
  <c r="H24" i="2"/>
  <c r="I24" i="2"/>
  <c r="U4" i="3" l="1"/>
  <c r="U8" i="3"/>
  <c r="U12" i="3"/>
  <c r="U16" i="3"/>
  <c r="U20" i="3"/>
  <c r="U2" i="3"/>
  <c r="U6" i="3"/>
  <c r="U10" i="3"/>
  <c r="U14" i="3"/>
  <c r="U18" i="3"/>
  <c r="U22" i="3"/>
  <c r="U3" i="3"/>
  <c r="U7" i="3"/>
  <c r="U11" i="3"/>
  <c r="U15" i="3"/>
  <c r="U19" i="3"/>
  <c r="U23" i="3"/>
  <c r="U24" i="3"/>
  <c r="U5" i="3"/>
  <c r="U9" i="3"/>
  <c r="U13" i="3"/>
  <c r="U17" i="3"/>
  <c r="U21" i="3"/>
  <c r="L28" i="4"/>
  <c r="L24" i="4"/>
  <c r="J7" i="7"/>
  <c r="B107" i="7"/>
  <c r="L22" i="4"/>
  <c r="L21" i="4"/>
  <c r="L18" i="4"/>
  <c r="L14" i="4"/>
  <c r="L17" i="4"/>
  <c r="L13" i="4"/>
  <c r="L23" i="4"/>
  <c r="L19" i="4"/>
  <c r="L15" i="4"/>
  <c r="L11" i="4"/>
  <c r="L20" i="4"/>
  <c r="L16" i="4"/>
  <c r="L12" i="4"/>
  <c r="L10" i="4"/>
  <c r="L9" i="4"/>
  <c r="D4" i="4"/>
  <c r="C6" i="1"/>
  <c r="B4" i="4" s="1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2" i="3"/>
  <c r="B3" i="7"/>
  <c r="A25" i="2"/>
  <c r="B25" i="2"/>
  <c r="C25" i="2"/>
  <c r="D25" i="2"/>
  <c r="E25" i="2"/>
  <c r="H25" i="2"/>
  <c r="I25" i="2"/>
  <c r="A26" i="2"/>
  <c r="B26" i="2"/>
  <c r="C26" i="2"/>
  <c r="D26" i="2"/>
  <c r="E26" i="2"/>
  <c r="H26" i="2"/>
  <c r="I26" i="2"/>
  <c r="A27" i="2"/>
  <c r="B27" i="2"/>
  <c r="C27" i="2"/>
  <c r="D27" i="2"/>
  <c r="E27" i="2"/>
  <c r="H27" i="2"/>
  <c r="I27" i="2"/>
  <c r="A28" i="2"/>
  <c r="B28" i="2"/>
  <c r="C28" i="2"/>
  <c r="D28" i="2"/>
  <c r="E28" i="2"/>
  <c r="H28" i="2"/>
  <c r="I28" i="2"/>
  <c r="A29" i="2"/>
  <c r="B29" i="2"/>
  <c r="C29" i="2"/>
  <c r="D29" i="2"/>
  <c r="E29" i="2"/>
  <c r="H29" i="2"/>
  <c r="I29" i="2"/>
  <c r="A30" i="2"/>
  <c r="B30" i="2"/>
  <c r="C30" i="2"/>
  <c r="D30" i="2"/>
  <c r="E30" i="2"/>
  <c r="H30" i="2"/>
  <c r="I30" i="2"/>
  <c r="A31" i="2"/>
  <c r="B31" i="2"/>
  <c r="C31" i="2"/>
  <c r="D31" i="2"/>
  <c r="E31" i="2"/>
  <c r="H31" i="2"/>
  <c r="I31" i="2"/>
  <c r="A32" i="2"/>
  <c r="B32" i="2"/>
  <c r="C32" i="2"/>
  <c r="D32" i="2"/>
  <c r="E32" i="2"/>
  <c r="H32" i="2"/>
  <c r="I32" i="2"/>
  <c r="A33" i="2"/>
  <c r="B33" i="2"/>
  <c r="C33" i="2"/>
  <c r="D33" i="2"/>
  <c r="E33" i="2"/>
  <c r="H33" i="2"/>
  <c r="I33" i="2"/>
  <c r="A34" i="2"/>
  <c r="B34" i="2"/>
  <c r="C34" i="2"/>
  <c r="D34" i="2"/>
  <c r="E34" i="2"/>
  <c r="H34" i="2"/>
  <c r="I34" i="2"/>
  <c r="A35" i="2"/>
  <c r="B35" i="2"/>
  <c r="C35" i="2"/>
  <c r="D35" i="2"/>
  <c r="E35" i="2"/>
  <c r="H35" i="2"/>
  <c r="I35" i="2"/>
  <c r="B31" i="4"/>
  <c r="C31" i="4"/>
  <c r="D31" i="4"/>
  <c r="E31" i="4"/>
  <c r="F31" i="4"/>
  <c r="G31" i="4"/>
  <c r="B32" i="4"/>
  <c r="C32" i="4"/>
  <c r="D32" i="4"/>
  <c r="E32" i="4"/>
  <c r="F32" i="4"/>
  <c r="G32" i="4"/>
  <c r="B33" i="4"/>
  <c r="L33" i="4" s="1"/>
  <c r="C33" i="4"/>
  <c r="D33" i="4"/>
  <c r="E33" i="4"/>
  <c r="F33" i="4"/>
  <c r="G33" i="4"/>
  <c r="B34" i="4"/>
  <c r="C34" i="4"/>
  <c r="D34" i="4"/>
  <c r="E34" i="4"/>
  <c r="F34" i="4"/>
  <c r="G34" i="4"/>
  <c r="B35" i="4"/>
  <c r="C35" i="4"/>
  <c r="D35" i="4"/>
  <c r="E35" i="4"/>
  <c r="F35" i="4"/>
  <c r="G35" i="4"/>
  <c r="B36" i="4"/>
  <c r="C36" i="4"/>
  <c r="D36" i="4"/>
  <c r="E36" i="4"/>
  <c r="F36" i="4"/>
  <c r="G36" i="4"/>
  <c r="B37" i="4"/>
  <c r="L37" i="4" s="1"/>
  <c r="C37" i="4"/>
  <c r="D37" i="4"/>
  <c r="E37" i="4"/>
  <c r="F37" i="4"/>
  <c r="G37" i="4"/>
  <c r="B38" i="4"/>
  <c r="C38" i="4"/>
  <c r="D38" i="4"/>
  <c r="E38" i="4"/>
  <c r="F38" i="4"/>
  <c r="G38" i="4"/>
  <c r="B39" i="4"/>
  <c r="L39" i="4" s="1"/>
  <c r="C39" i="4"/>
  <c r="D39" i="4"/>
  <c r="E39" i="4"/>
  <c r="F39" i="4"/>
  <c r="G39" i="4"/>
  <c r="B40" i="4"/>
  <c r="C40" i="4"/>
  <c r="D40" i="4"/>
  <c r="E40" i="4"/>
  <c r="F40" i="4"/>
  <c r="G40" i="4"/>
  <c r="B41" i="4"/>
  <c r="L41" i="4" s="1"/>
  <c r="C41" i="4"/>
  <c r="D41" i="4"/>
  <c r="E41" i="4"/>
  <c r="F41" i="4"/>
  <c r="G41" i="4"/>
  <c r="B2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8" i="4"/>
  <c r="C6" i="4"/>
  <c r="B3" i="4"/>
  <c r="G1" i="4"/>
  <c r="M25" i="3"/>
  <c r="M26" i="3"/>
  <c r="M27" i="3"/>
  <c r="M28" i="3"/>
  <c r="M29" i="3"/>
  <c r="M30" i="3"/>
  <c r="M31" i="3"/>
  <c r="M32" i="3"/>
  <c r="M33" i="3"/>
  <c r="M34" i="3"/>
  <c r="M35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A25" i="3"/>
  <c r="B25" i="3"/>
  <c r="U25" i="3" s="1"/>
  <c r="C25" i="3"/>
  <c r="D25" i="3"/>
  <c r="F25" i="3"/>
  <c r="G25" i="3"/>
  <c r="X25" i="3" s="1"/>
  <c r="H25" i="3"/>
  <c r="I25" i="3"/>
  <c r="J25" i="3"/>
  <c r="K25" i="3"/>
  <c r="N25" i="3"/>
  <c r="O25" i="3"/>
  <c r="A26" i="3"/>
  <c r="B26" i="3"/>
  <c r="U26" i="3" s="1"/>
  <c r="C26" i="3"/>
  <c r="D26" i="3"/>
  <c r="F26" i="3"/>
  <c r="G26" i="3"/>
  <c r="X26" i="3" s="1"/>
  <c r="H26" i="3"/>
  <c r="I26" i="3"/>
  <c r="J26" i="3"/>
  <c r="K26" i="3"/>
  <c r="N26" i="3"/>
  <c r="O26" i="3"/>
  <c r="A27" i="3"/>
  <c r="B27" i="3"/>
  <c r="U27" i="3" s="1"/>
  <c r="C27" i="3"/>
  <c r="D27" i="3"/>
  <c r="F27" i="3"/>
  <c r="G27" i="3"/>
  <c r="X27" i="3" s="1"/>
  <c r="H27" i="3"/>
  <c r="I27" i="3"/>
  <c r="J27" i="3"/>
  <c r="K27" i="3"/>
  <c r="N27" i="3"/>
  <c r="O27" i="3"/>
  <c r="A28" i="3"/>
  <c r="B28" i="3"/>
  <c r="U28" i="3" s="1"/>
  <c r="C28" i="3"/>
  <c r="D28" i="3"/>
  <c r="F28" i="3"/>
  <c r="G28" i="3"/>
  <c r="X28" i="3" s="1"/>
  <c r="H28" i="3"/>
  <c r="I28" i="3"/>
  <c r="J28" i="3"/>
  <c r="K28" i="3"/>
  <c r="N28" i="3"/>
  <c r="O28" i="3"/>
  <c r="A29" i="3"/>
  <c r="B29" i="3"/>
  <c r="U29" i="3" s="1"/>
  <c r="C29" i="3"/>
  <c r="D29" i="3"/>
  <c r="F29" i="3"/>
  <c r="G29" i="3"/>
  <c r="X29" i="3" s="1"/>
  <c r="H29" i="3"/>
  <c r="I29" i="3"/>
  <c r="J29" i="3"/>
  <c r="K29" i="3"/>
  <c r="N29" i="3"/>
  <c r="O29" i="3"/>
  <c r="A30" i="3"/>
  <c r="B30" i="3"/>
  <c r="U30" i="3" s="1"/>
  <c r="C30" i="3"/>
  <c r="D30" i="3"/>
  <c r="F30" i="3"/>
  <c r="G30" i="3"/>
  <c r="X30" i="3" s="1"/>
  <c r="H30" i="3"/>
  <c r="I30" i="3"/>
  <c r="J30" i="3"/>
  <c r="K30" i="3"/>
  <c r="N30" i="3"/>
  <c r="O30" i="3"/>
  <c r="A31" i="3"/>
  <c r="B31" i="3"/>
  <c r="U31" i="3" s="1"/>
  <c r="C31" i="3"/>
  <c r="D31" i="3"/>
  <c r="F31" i="3"/>
  <c r="G31" i="3"/>
  <c r="X31" i="3" s="1"/>
  <c r="H31" i="3"/>
  <c r="I31" i="3"/>
  <c r="J31" i="3"/>
  <c r="K31" i="3"/>
  <c r="N31" i="3"/>
  <c r="O31" i="3"/>
  <c r="A32" i="3"/>
  <c r="B32" i="3"/>
  <c r="U32" i="3" s="1"/>
  <c r="C32" i="3"/>
  <c r="D32" i="3"/>
  <c r="F32" i="3"/>
  <c r="G32" i="3"/>
  <c r="X32" i="3" s="1"/>
  <c r="H32" i="3"/>
  <c r="I32" i="3"/>
  <c r="J32" i="3"/>
  <c r="K32" i="3"/>
  <c r="N32" i="3"/>
  <c r="O32" i="3"/>
  <c r="A33" i="3"/>
  <c r="B33" i="3"/>
  <c r="U33" i="3" s="1"/>
  <c r="C33" i="3"/>
  <c r="D33" i="3"/>
  <c r="F33" i="3"/>
  <c r="G33" i="3"/>
  <c r="X33" i="3" s="1"/>
  <c r="H33" i="3"/>
  <c r="I33" i="3"/>
  <c r="J33" i="3"/>
  <c r="K33" i="3"/>
  <c r="N33" i="3"/>
  <c r="O33" i="3"/>
  <c r="A34" i="3"/>
  <c r="B34" i="3"/>
  <c r="U34" i="3" s="1"/>
  <c r="C34" i="3"/>
  <c r="D34" i="3"/>
  <c r="F34" i="3"/>
  <c r="G34" i="3"/>
  <c r="X34" i="3" s="1"/>
  <c r="H34" i="3"/>
  <c r="I34" i="3"/>
  <c r="J34" i="3"/>
  <c r="K34" i="3"/>
  <c r="N34" i="3"/>
  <c r="O34" i="3"/>
  <c r="A35" i="3"/>
  <c r="B35" i="3"/>
  <c r="U35" i="3" s="1"/>
  <c r="C35" i="3"/>
  <c r="D35" i="3"/>
  <c r="F35" i="3"/>
  <c r="G35" i="3"/>
  <c r="X35" i="3" s="1"/>
  <c r="H35" i="3"/>
  <c r="I35" i="3"/>
  <c r="J35" i="3"/>
  <c r="K35" i="3"/>
  <c r="N35" i="3"/>
  <c r="O35" i="3"/>
  <c r="X36" i="3"/>
  <c r="L40" i="4" l="1"/>
  <c r="L38" i="4"/>
  <c r="L36" i="4"/>
  <c r="L35" i="4"/>
  <c r="L34" i="4"/>
  <c r="L32" i="4"/>
  <c r="L31" i="4"/>
  <c r="X2" i="3"/>
  <c r="L108" i="4" l="1"/>
  <c r="F5" i="4" s="1"/>
  <c r="A110" i="7"/>
  <c r="H1" i="1" l="1"/>
  <c r="R37" i="3" s="1"/>
  <c r="J11" i="7"/>
  <c r="J5" i="7"/>
  <c r="J2" i="7"/>
  <c r="D41" i="7" l="1"/>
  <c r="C41" i="7" s="1"/>
  <c r="D42" i="7"/>
  <c r="C42" i="7" s="1"/>
  <c r="R35" i="3"/>
  <c r="R36" i="3"/>
  <c r="R33" i="3"/>
  <c r="R34" i="3"/>
  <c r="R31" i="3"/>
  <c r="R32" i="3"/>
  <c r="R29" i="3"/>
  <c r="R30" i="3"/>
  <c r="R27" i="3"/>
  <c r="R28" i="3"/>
  <c r="R25" i="3"/>
  <c r="R26" i="3"/>
  <c r="D106" i="7"/>
  <c r="C106" i="7" s="1"/>
  <c r="D98" i="7"/>
  <c r="C98" i="7" s="1"/>
  <c r="R101" i="3"/>
  <c r="R93" i="3"/>
  <c r="R8" i="3"/>
  <c r="R13" i="3"/>
  <c r="R24" i="3"/>
  <c r="R18" i="3"/>
  <c r="R20" i="3"/>
  <c r="R12" i="3"/>
  <c r="R22" i="3"/>
  <c r="R17" i="3"/>
  <c r="R9" i="3"/>
  <c r="R21" i="3"/>
  <c r="R23" i="3"/>
  <c r="R5" i="3"/>
  <c r="R15" i="3"/>
  <c r="R7" i="3"/>
  <c r="R16" i="3"/>
  <c r="R4" i="3"/>
  <c r="R14" i="3"/>
  <c r="R6" i="3"/>
  <c r="R10" i="3"/>
  <c r="R19" i="3"/>
  <c r="R11" i="3"/>
  <c r="R3" i="3"/>
  <c r="R2" i="3"/>
  <c r="D6" i="4"/>
  <c r="D25" i="7"/>
  <c r="C25" i="7" s="1"/>
  <c r="J3" i="7"/>
  <c r="J8" i="7"/>
  <c r="J4" i="7" s="1"/>
  <c r="D39" i="7"/>
  <c r="C39" i="7" s="1"/>
  <c r="D38" i="7"/>
  <c r="C38" i="7" s="1"/>
  <c r="D37" i="7"/>
  <c r="C37" i="7" s="1"/>
  <c r="D40" i="7"/>
  <c r="C40" i="7" s="1"/>
  <c r="D19" i="7"/>
  <c r="C19" i="7" s="1"/>
  <c r="D10" i="7"/>
  <c r="C10" i="7" s="1"/>
  <c r="D36" i="7"/>
  <c r="C36" i="7" s="1"/>
  <c r="D23" i="7"/>
  <c r="C23" i="7" s="1"/>
  <c r="D15" i="7"/>
  <c r="C15" i="7" s="1"/>
  <c r="D22" i="7"/>
  <c r="C22" i="7" s="1"/>
  <c r="D29" i="7"/>
  <c r="C29" i="7" s="1"/>
  <c r="D27" i="7"/>
  <c r="C27" i="7" s="1"/>
  <c r="D20" i="7"/>
  <c r="C20" i="7" s="1"/>
  <c r="D35" i="7"/>
  <c r="C35" i="7" s="1"/>
  <c r="D28" i="7"/>
  <c r="C28" i="7" s="1"/>
  <c r="D9" i="7"/>
  <c r="C9" i="7" s="1"/>
  <c r="D18" i="7"/>
  <c r="C18" i="7" s="1"/>
  <c r="D31" i="7"/>
  <c r="C31" i="7" s="1"/>
  <c r="D30" i="7"/>
  <c r="C30" i="7" s="1"/>
  <c r="D21" i="7"/>
  <c r="C21" i="7" s="1"/>
  <c r="D13" i="7"/>
  <c r="C13" i="7" s="1"/>
  <c r="D12" i="7"/>
  <c r="C12" i="7" s="1"/>
  <c r="D14" i="7"/>
  <c r="C14" i="7" s="1"/>
  <c r="D17" i="7"/>
  <c r="C17" i="7" s="1"/>
  <c r="D32" i="7"/>
  <c r="C32" i="7" s="1"/>
  <c r="D24" i="7"/>
  <c r="C24" i="7" s="1"/>
  <c r="D16" i="7"/>
  <c r="C16" i="7" s="1"/>
  <c r="D11" i="7"/>
  <c r="C11" i="7" s="1"/>
  <c r="D33" i="7"/>
  <c r="C33" i="7" s="1"/>
  <c r="D8" i="7"/>
  <c r="C8" i="7" s="1"/>
  <c r="D34" i="7"/>
  <c r="C34" i="7" s="1"/>
  <c r="D26" i="7"/>
  <c r="C26" i="7" s="1"/>
  <c r="D7" i="7"/>
  <c r="D107" i="7" l="1"/>
  <c r="J9" i="7" s="1"/>
  <c r="J6" i="7"/>
  <c r="C7" i="7"/>
  <c r="C107" i="7" s="1"/>
  <c r="G8" i="7" l="1"/>
  <c r="I6" i="1" s="1"/>
  <c r="Q36" i="3" l="1"/>
  <c r="E36" i="3" s="1"/>
  <c r="Q37" i="3"/>
  <c r="E37" i="3" s="1"/>
  <c r="Q34" i="3"/>
  <c r="E34" i="3" s="1"/>
  <c r="Q35" i="3"/>
  <c r="E35" i="3" s="1"/>
  <c r="Q32" i="3"/>
  <c r="E32" i="3" s="1"/>
  <c r="Q33" i="3"/>
  <c r="E33" i="3" s="1"/>
  <c r="Q30" i="3"/>
  <c r="E30" i="3" s="1"/>
  <c r="Q31" i="3"/>
  <c r="E31" i="3" s="1"/>
  <c r="Q28" i="3"/>
  <c r="E28" i="3" s="1"/>
  <c r="Q29" i="3"/>
  <c r="E29" i="3" s="1"/>
  <c r="Q26" i="3"/>
  <c r="E26" i="3" s="1"/>
  <c r="Q27" i="3"/>
  <c r="E27" i="3" s="1"/>
  <c r="Q93" i="3"/>
  <c r="E93" i="3" s="1"/>
  <c r="Q25" i="3"/>
  <c r="E25" i="3" s="1"/>
  <c r="Q2" i="3"/>
  <c r="E2" i="3" s="1"/>
  <c r="H8" i="4" s="1"/>
  <c r="Q101" i="3"/>
  <c r="E101" i="3" s="1"/>
  <c r="Q4" i="3"/>
  <c r="E4" i="3" s="1"/>
  <c r="Q18" i="3"/>
  <c r="E18" i="3" s="1"/>
  <c r="Q13" i="3"/>
  <c r="E13" i="3" s="1"/>
  <c r="Q11" i="3"/>
  <c r="E11" i="3" s="1"/>
  <c r="Q22" i="3"/>
  <c r="E22" i="3" s="1"/>
  <c r="Q17" i="3"/>
  <c r="E17" i="3" s="1"/>
  <c r="Q12" i="3"/>
  <c r="E12" i="3" s="1"/>
  <c r="Q5" i="3"/>
  <c r="E5" i="3" s="1"/>
  <c r="Q15" i="3"/>
  <c r="E15" i="3" s="1"/>
  <c r="Q7" i="3"/>
  <c r="E7" i="3" s="1"/>
  <c r="Q3" i="3"/>
  <c r="E3" i="3" s="1"/>
  <c r="H9" i="4" s="1"/>
  <c r="Q14" i="3"/>
  <c r="E14" i="3" s="1"/>
  <c r="Q9" i="3"/>
  <c r="E9" i="3" s="1"/>
  <c r="Q6" i="3"/>
  <c r="E6" i="3" s="1"/>
  <c r="Q20" i="3"/>
  <c r="E20" i="3" s="1"/>
  <c r="Q10" i="3"/>
  <c r="E10" i="3" s="1"/>
  <c r="Q23" i="3"/>
  <c r="E23" i="3" s="1"/>
  <c r="Q24" i="3"/>
  <c r="E24" i="3" s="1"/>
  <c r="Q19" i="3"/>
  <c r="E19" i="3" s="1"/>
  <c r="Q21" i="3"/>
  <c r="E21" i="3" s="1"/>
  <c r="Q16" i="3"/>
  <c r="E16" i="3" s="1"/>
  <c r="Q8" i="3"/>
  <c r="E8" i="3" s="1"/>
  <c r="J10" i="7"/>
  <c r="C8" i="3" l="1"/>
  <c r="C18" i="3"/>
  <c r="C10" i="3"/>
  <c r="C6" i="3"/>
  <c r="C4" i="3"/>
  <c r="C16" i="3"/>
  <c r="C15" i="3"/>
  <c r="C12" i="3"/>
  <c r="C22" i="3"/>
  <c r="C20" i="3"/>
  <c r="C24" i="3"/>
  <c r="C14" i="3"/>
  <c r="C19" i="3"/>
  <c r="C7" i="3"/>
  <c r="C17" i="3"/>
  <c r="C23" i="3"/>
  <c r="C9" i="3"/>
  <c r="C11" i="3"/>
  <c r="C13" i="3"/>
  <c r="C3" i="3"/>
  <c r="C21" i="3"/>
  <c r="C5" i="3"/>
  <c r="U1" i="3"/>
  <c r="B1" i="2"/>
  <c r="F1" i="2"/>
  <c r="H1" i="2"/>
  <c r="I1" i="2"/>
  <c r="C2" i="3" l="1"/>
  <c r="B5" i="4"/>
  <c r="B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Douglas Casceiro</author>
    <author>Solange Leite</author>
  </authors>
  <commentList>
    <comment ref="B2" authorId="0" shapeId="0" xr:uid="{5967D672-C623-4486-806D-5250421C6C84}">
      <text>
        <r>
          <rPr>
            <b/>
            <sz val="9"/>
            <color indexed="81"/>
            <rFont val="Segoe UI"/>
            <family val="2"/>
          </rPr>
          <t>Douglas Casceiro:</t>
        </r>
        <r>
          <rPr>
            <sz val="9"/>
            <color indexed="81"/>
            <rFont val="Segoe UI"/>
            <family val="2"/>
          </rPr>
          <t xml:space="preserve">
*Não usar mascara
*Campo Obrigatorio</t>
        </r>
      </text>
    </comment>
    <comment ref="B3" authorId="0" shapeId="0" xr:uid="{6FF0C527-0697-44DB-B1C8-04218759B133}">
      <text>
        <r>
          <rPr>
            <b/>
            <sz val="9"/>
            <color indexed="81"/>
            <rFont val="Segoe UI"/>
            <family val="2"/>
          </rPr>
          <t>Douglas Casceiro:</t>
        </r>
        <r>
          <rPr>
            <sz val="9"/>
            <color indexed="81"/>
            <rFont val="Segoe UI"/>
            <family val="2"/>
          </rPr>
          <t xml:space="preserve">
*Campo obrigatorio</t>
        </r>
      </text>
    </comment>
    <comment ref="B4" authorId="0" shapeId="0" xr:uid="{E2ABCAF9-3CDA-4A21-8604-5C01A636C7B4}">
      <text>
        <r>
          <rPr>
            <b/>
            <sz val="9"/>
            <color indexed="81"/>
            <rFont val="Segoe UI"/>
            <family val="2"/>
          </rPr>
          <t>Douglas Casceiro:</t>
        </r>
        <r>
          <rPr>
            <sz val="9"/>
            <color indexed="81"/>
            <rFont val="Segoe UI"/>
            <family val="2"/>
          </rPr>
          <t xml:space="preserve">
*Campo obrigatorio</t>
        </r>
      </text>
    </comment>
    <comment ref="A5" authorId="0" shapeId="0" xr:uid="{79DD2D25-2B45-4DED-9A2C-266C7B06628D}">
      <text>
        <r>
          <rPr>
            <b/>
            <sz val="9"/>
            <color indexed="81"/>
            <rFont val="Segoe UI"/>
            <family val="2"/>
          </rPr>
          <t>Douglas Casceiro:</t>
        </r>
        <r>
          <rPr>
            <sz val="9"/>
            <color indexed="81"/>
            <rFont val="Segoe UI"/>
            <family val="2"/>
          </rPr>
          <t xml:space="preserve">
*Não utilizar mascara
*Colocar o campo como tipo TEXTO
*Campo obrigatorio</t>
        </r>
      </text>
    </comment>
    <comment ref="B5" authorId="0" shapeId="0" xr:uid="{17AADDC8-935E-464C-84F8-6492FC1B4CDB}">
      <text>
        <r>
          <rPr>
            <b/>
            <sz val="9"/>
            <color indexed="81"/>
            <rFont val="Segoe UI"/>
            <family val="2"/>
          </rPr>
          <t>Douglas Casceiro:</t>
        </r>
        <r>
          <rPr>
            <sz val="9"/>
            <color indexed="81"/>
            <rFont val="Segoe UI"/>
            <family val="2"/>
          </rPr>
          <t xml:space="preserve">
*Campo Obrigatorio</t>
        </r>
      </text>
    </comment>
    <comment ref="C5" authorId="0" shapeId="0" xr:uid="{27FD8941-4EBC-4E8A-B8C6-9DA8D6F5BBB6}">
      <text>
        <r>
          <rPr>
            <b/>
            <sz val="9"/>
            <color indexed="81"/>
            <rFont val="Segoe UI"/>
            <family val="2"/>
          </rPr>
          <t>Douglas Casceiro:</t>
        </r>
        <r>
          <rPr>
            <sz val="9"/>
            <color indexed="81"/>
            <rFont val="Segoe UI"/>
            <family val="2"/>
          </rPr>
          <t xml:space="preserve">
*Campo não obrigatorio</t>
        </r>
      </text>
    </comment>
    <comment ref="D5" authorId="1" shapeId="0" xr:uid="{DDD68893-BE72-4776-A562-2C84C1E9DD87}">
      <text>
        <r>
          <rPr>
            <b/>
            <sz val="9"/>
            <color indexed="81"/>
            <rFont val="Segoe UI"/>
            <family val="2"/>
          </rPr>
          <t>Solange Leite:</t>
        </r>
        <r>
          <rPr>
            <sz val="9"/>
            <color indexed="81"/>
            <rFont val="Segoe UI"/>
            <family val="2"/>
          </rPr>
          <t xml:space="preserve">
Não Obrigatório</t>
        </r>
      </text>
    </comment>
    <comment ref="E5" authorId="1" shapeId="0" xr:uid="{0A1633D4-135A-44C9-BB8B-955A2E2134B2}">
      <text>
        <r>
          <rPr>
            <b/>
            <sz val="9"/>
            <color indexed="81"/>
            <rFont val="Segoe UI"/>
            <family val="2"/>
          </rPr>
          <t>Solange Leite:</t>
        </r>
        <r>
          <rPr>
            <sz val="9"/>
            <color indexed="81"/>
            <rFont val="Segoe UI"/>
            <family val="2"/>
          </rPr>
          <t xml:space="preserve">
Não obrigatório</t>
        </r>
      </text>
    </comment>
    <comment ref="F5" authorId="1" shapeId="0" xr:uid="{DF14921D-275D-463B-8A1C-3E7D9AD3B0EA}">
      <text>
        <r>
          <rPr>
            <b/>
            <sz val="9"/>
            <color indexed="81"/>
            <rFont val="Segoe UI"/>
            <family val="2"/>
          </rPr>
          <t>Solange Leite:</t>
        </r>
        <r>
          <rPr>
            <sz val="9"/>
            <color indexed="81"/>
            <rFont val="Segoe UI"/>
            <family val="2"/>
          </rPr>
          <t xml:space="preserve">
Não Obrigatório</t>
        </r>
      </text>
    </comment>
    <comment ref="G5" authorId="1" shapeId="0" xr:uid="{AFDABDD4-E537-489D-8328-2D798246459D}">
      <text>
        <r>
          <rPr>
            <b/>
            <sz val="9"/>
            <color indexed="81"/>
            <rFont val="Segoe UI"/>
            <family val="2"/>
          </rPr>
          <t>Solange Leite:</t>
        </r>
        <r>
          <rPr>
            <sz val="9"/>
            <color indexed="81"/>
            <rFont val="Segoe UI"/>
            <family val="2"/>
          </rPr>
          <t xml:space="preserve">
Não Obrigatório</t>
        </r>
      </text>
    </comment>
    <comment ref="H5" authorId="0" shapeId="0" xr:uid="{258BF3CB-B494-4FC3-8DBB-04429508F5AA}">
      <text>
        <r>
          <rPr>
            <b/>
            <sz val="9"/>
            <color indexed="81"/>
            <rFont val="Segoe UI"/>
            <family val="2"/>
          </rPr>
          <t>Douglas Casceiro:</t>
        </r>
        <r>
          <rPr>
            <sz val="9"/>
            <color indexed="81"/>
            <rFont val="Segoe UI"/>
            <family val="2"/>
          </rPr>
          <t xml:space="preserve">
*Não utilizar mascara
*Colocar o campo como tipo TEXTO
*Campo não obrigatorio</t>
        </r>
      </text>
    </comment>
    <comment ref="I5" authorId="0" shapeId="0" xr:uid="{B938F9EB-563F-4C08-9E01-60A07769598D}">
      <text>
        <r>
          <rPr>
            <b/>
            <sz val="9"/>
            <color indexed="81"/>
            <rFont val="Segoe UI"/>
            <family val="2"/>
          </rPr>
          <t>Douglas Casceiro:</t>
        </r>
        <r>
          <rPr>
            <sz val="9"/>
            <color indexed="81"/>
            <rFont val="Segoe UI"/>
            <family val="2"/>
          </rPr>
          <t xml:space="preserve">
*Não utilizar mascara
*Colocar o campo como tipo TEXTO
*Campo obrigatorio</t>
        </r>
      </text>
    </comment>
    <comment ref="K5" authorId="0" shapeId="0" xr:uid="{5DD0E0CD-2314-4523-BF54-BA3C6DAC4F78}">
      <text>
        <r>
          <rPr>
            <b/>
            <sz val="9"/>
            <color indexed="81"/>
            <rFont val="Segoe UI"/>
            <family val="2"/>
          </rPr>
          <t>Douglas Casceiro:</t>
        </r>
        <r>
          <rPr>
            <sz val="9"/>
            <color indexed="81"/>
            <rFont val="Segoe UI"/>
            <family val="2"/>
          </rPr>
          <t xml:space="preserve">
*Não utilizar mascara
*Colocar o campo como tipo NUMERO
*Campo obrigatorio</t>
        </r>
      </text>
    </comment>
    <comment ref="L5" authorId="0" shapeId="0" xr:uid="{C981031B-D869-4AAD-8E34-DF307C9E45F6}">
      <text>
        <r>
          <rPr>
            <b/>
            <sz val="9"/>
            <color indexed="81"/>
            <rFont val="Segoe UI"/>
            <family val="2"/>
          </rPr>
          <t>Douglas Casceiro:</t>
        </r>
        <r>
          <rPr>
            <sz val="9"/>
            <color indexed="81"/>
            <rFont val="Segoe UI"/>
            <family val="2"/>
          </rPr>
          <t xml:space="preserve">
*Não utilizar mascara
*Colocar o campo como tipo TEXTO
*Campo obrigatorio para CHEQUES</t>
        </r>
      </text>
    </comment>
    <comment ref="M5" authorId="0" shapeId="0" xr:uid="{A72C57F2-1B60-4B5D-863D-11A8D6DB8DAC}">
      <text>
        <r>
          <rPr>
            <b/>
            <sz val="9"/>
            <color indexed="81"/>
            <rFont val="Segoe UI"/>
            <family val="2"/>
          </rPr>
          <t>Douglas Casceiro:</t>
        </r>
        <r>
          <rPr>
            <sz val="9"/>
            <color indexed="81"/>
            <rFont val="Segoe UI"/>
            <family val="2"/>
          </rPr>
          <t xml:space="preserve">
*Não utilizar mascara
*Colocar o campo como tipo TEXTO
*Campo somente para DUPLICATAS</t>
        </r>
      </text>
    </comment>
    <comment ref="N5" authorId="0" shapeId="0" xr:uid="{C663708F-2817-4321-A2F8-A89C0862DF24}">
      <text>
        <r>
          <rPr>
            <b/>
            <sz val="9"/>
            <color indexed="81"/>
            <rFont val="Segoe UI"/>
            <family val="2"/>
          </rPr>
          <t>Douglas Casceiro:</t>
        </r>
        <r>
          <rPr>
            <sz val="9"/>
            <color indexed="81"/>
            <rFont val="Segoe UI"/>
            <family val="2"/>
          </rPr>
          <t xml:space="preserve">
*Não utilizar mascara
*Colocar o campo como tipo TEXTO
*Campo obrigatorio para CHEQUES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Lúcio Couto</author>
  </authors>
  <commentList>
    <comment ref="A1" authorId="0" shapeId="0" xr:uid="{BA19CCB7-4E8F-4A6B-887F-A3679B6E7EC2}">
      <text>
        <r>
          <rPr>
            <b/>
            <sz val="9"/>
            <color indexed="81"/>
            <rFont val="Segoe UI"/>
            <family val="2"/>
          </rPr>
          <t>Para duplicatas de produtos coloque aqui a chave do XML, sem ela não passa. Para duplicadas de serviço coloque aqui o núero da duplicata</t>
        </r>
      </text>
    </comment>
    <comment ref="D1" authorId="0" shapeId="0" xr:uid="{2C4F27BE-AB74-4E86-8F9E-DD77CBA92268}">
      <text>
        <r>
          <rPr>
            <b/>
            <sz val="9"/>
            <color indexed="81"/>
            <rFont val="Segoe UI"/>
            <family val="2"/>
          </rPr>
          <t>Product ou service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" authorId="0" shapeId="0" xr:uid="{4CDBB6BC-36B9-4751-BF9D-E9DE1DD3F83A}">
      <text>
        <r>
          <rPr>
            <b/>
            <sz val="9"/>
            <color indexed="81"/>
            <rFont val="Segoe UI"/>
            <family val="2"/>
          </rPr>
          <t>sempre sim</t>
        </r>
      </text>
    </comment>
    <comment ref="O1" authorId="0" shapeId="0" xr:uid="{32F35F05-786F-464C-B208-937895AC82C5}">
      <text>
        <r>
          <rPr>
            <b/>
            <sz val="9"/>
            <color indexed="81"/>
            <rFont val="Segoe UI"/>
            <family val="2"/>
          </rPr>
          <t>Sempre duplicata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<sst xmlns="http://schemas.openxmlformats.org/spreadsheetml/2006/main" count="427" uniqueCount="281">
  <si>
    <t>QTD</t>
  </si>
  <si>
    <t>E-MAIL</t>
  </si>
  <si>
    <t>VALOR R$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</si>
  <si>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</si>
  <si>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</si>
  <si>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</si>
  <si>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</si>
  <si>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</si>
  <si>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</si>
  <si>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</si>
  <si>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</si>
  <si>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</si>
  <si>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</si>
  <si>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</si>
  <si>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</si>
  <si>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</si>
  <si>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</si>
  <si>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</si>
  <si>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CHAVE XML</t>
  </si>
  <si>
    <t>BORDERÔ DE DESCONTO DE TÍTULOS DE CRÉDITO</t>
  </si>
  <si>
    <t>numero_duplicata</t>
  </si>
  <si>
    <t>numero_fatura</t>
  </si>
  <si>
    <t>tipo</t>
  </si>
  <si>
    <t>valor_de_aquisicao</t>
  </si>
  <si>
    <t>valor_nominal</t>
  </si>
  <si>
    <t>data_de_vencimento</t>
  </si>
  <si>
    <t>data_de_emissao</t>
  </si>
  <si>
    <t>cnpj_ou_cpf_sacado</t>
  </si>
  <si>
    <t>sacado_razaoSocial</t>
  </si>
  <si>
    <t>sacado_endereco</t>
  </si>
  <si>
    <t>pj_cnpj</t>
  </si>
  <si>
    <t>primeira_cessao</t>
  </si>
  <si>
    <t>nome_endossante</t>
  </si>
  <si>
    <t>cnpj_cpf_endossante</t>
  </si>
  <si>
    <t>tipo_ativo</t>
  </si>
  <si>
    <t>nome</t>
  </si>
  <si>
    <t>numero_documento</t>
  </si>
  <si>
    <t>email</t>
  </si>
  <si>
    <t>valor</t>
  </si>
  <si>
    <t>vencimento</t>
  </si>
  <si>
    <t>observacao</t>
  </si>
  <si>
    <t>seu_numero</t>
  </si>
  <si>
    <t>descricao</t>
  </si>
  <si>
    <t>juros_por_mes</t>
  </si>
  <si>
    <t>multa</t>
  </si>
  <si>
    <t>dias_baixar_boleto_apos_vencimento</t>
  </si>
  <si>
    <t>desconto</t>
  </si>
  <si>
    <t>desconto_ate</t>
  </si>
  <si>
    <t>desconto_2</t>
  </si>
  <si>
    <t>desconto_ate_2</t>
  </si>
  <si>
    <t>desconto_3</t>
  </si>
  <si>
    <t>desconto_ate_3</t>
  </si>
  <si>
    <t>valor_de_abatimento</t>
  </si>
  <si>
    <t>abatimento</t>
  </si>
  <si>
    <t>natureza</t>
  </si>
  <si>
    <t>cedente</t>
  </si>
  <si>
    <t>cedente_numero_inscricao</t>
  </si>
  <si>
    <t>pagador_telefone</t>
  </si>
  <si>
    <t>endereco_cep</t>
  </si>
  <si>
    <t>endereco_logradouro</t>
  </si>
  <si>
    <t>endereco_numero</t>
  </si>
  <si>
    <t>endereco_complemento</t>
  </si>
  <si>
    <t>endereco_bairro</t>
  </si>
  <si>
    <t>endereco_municipio</t>
  </si>
  <si>
    <t>endereco_uf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</si>
  <si>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</si>
  <si>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</si>
  <si>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</si>
  <si>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</si>
  <si>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</si>
  <si>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</si>
  <si>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</si>
  <si>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</si>
  <si>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</si>
  <si>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</si>
  <si>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</si>
  <si>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</si>
  <si>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</si>
  <si>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</si>
  <si>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</si>
  <si>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</si>
  <si>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</si>
  <si>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</si>
  <si>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</si>
  <si>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RAZÃO SOCIAL DO SACADO</t>
  </si>
  <si>
    <t>35</t>
  </si>
  <si>
    <t>Tipo</t>
  </si>
  <si>
    <t>Valor</t>
  </si>
  <si>
    <t>Total</t>
  </si>
  <si>
    <t>GN:</t>
  </si>
  <si>
    <t>CEP SACADO</t>
  </si>
  <si>
    <t>Service</t>
  </si>
  <si>
    <t>Product</t>
  </si>
  <si>
    <t>cnab_our_number</t>
  </si>
  <si>
    <t>GN</t>
  </si>
  <si>
    <r>
      <rPr>
        <b/>
        <u/>
        <sz val="22"/>
        <color theme="1"/>
        <rFont val="Times New Roman"/>
        <family val="1"/>
      </rPr>
      <t>OBSERVAÇÃO</t>
    </r>
    <r>
      <rPr>
        <b/>
        <sz val="22"/>
        <color theme="1"/>
        <rFont val="Times New Roman"/>
        <family val="1"/>
      </rPr>
      <t>:  informamos que os titulos estão sujeitos a análise, confirmação e aprovação para posterior crédito em conta corrente do associado.</t>
    </r>
  </si>
  <si>
    <t>GN´S</t>
  </si>
  <si>
    <t>CNPJ Cedente:</t>
  </si>
  <si>
    <t>Razão Social Cedente:</t>
  </si>
  <si>
    <t>Tipo Oper:</t>
  </si>
  <si>
    <t>Tipo NF:</t>
  </si>
  <si>
    <t>Parâmetros</t>
  </si>
  <si>
    <t>Cálculos Intermediários</t>
  </si>
  <si>
    <t>Valor boleto</t>
  </si>
  <si>
    <t>Bordero</t>
  </si>
  <si>
    <t>Valor Bordero</t>
  </si>
  <si>
    <t>Boleto</t>
  </si>
  <si>
    <t>TAC</t>
  </si>
  <si>
    <t>TED</t>
  </si>
  <si>
    <t>Datas dos borderôs</t>
  </si>
  <si>
    <t>Dias x Valor</t>
  </si>
  <si>
    <t>Dias</t>
  </si>
  <si>
    <t>Total Tarifas</t>
  </si>
  <si>
    <t>Número de títulos</t>
  </si>
  <si>
    <t>Taxa Adicionada</t>
  </si>
  <si>
    <t>Valor da Operação</t>
  </si>
  <si>
    <t>PM aritmético</t>
  </si>
  <si>
    <t>PM podenrado</t>
  </si>
  <si>
    <t>Data do dia</t>
  </si>
  <si>
    <t>Data:</t>
  </si>
  <si>
    <t>Versão:</t>
  </si>
  <si>
    <t>Valor total do Borderô:</t>
  </si>
  <si>
    <t>O número de dias para efeito de cálculo da TA nunca pode ser inferiora 30, senão as tarifas ficarão abaixo do valor estabelecido</t>
  </si>
  <si>
    <t>CPF /CNPJ</t>
  </si>
  <si>
    <t>N.TÍTULO</t>
  </si>
  <si>
    <t>DT EMISSÃO</t>
  </si>
  <si>
    <t>VENCIMENTO</t>
  </si>
  <si>
    <r>
      <t xml:space="preserve">DT EMISSÃO
</t>
    </r>
    <r>
      <rPr>
        <b/>
        <sz val="16"/>
        <color rgb="FFFF0000"/>
        <rFont val="Times New Roman"/>
        <family val="1"/>
      </rPr>
      <t>Ex. 10/04/1968</t>
    </r>
  </si>
  <si>
    <r>
      <t xml:space="preserve">N.TÍTULO
</t>
    </r>
    <r>
      <rPr>
        <b/>
        <sz val="16"/>
        <color rgb="FFFF0000"/>
        <rFont val="Times New Roman"/>
        <family val="1"/>
      </rPr>
      <t>Ex. XXX-001</t>
    </r>
  </si>
  <si>
    <r>
      <t xml:space="preserve">VENCIMENTO
  </t>
    </r>
    <r>
      <rPr>
        <b/>
        <sz val="16"/>
        <color rgb="FFFF0000"/>
        <rFont val="Times New Roman"/>
        <family val="1"/>
      </rPr>
      <t>Ex. 10/04/1968</t>
    </r>
  </si>
  <si>
    <r>
      <t xml:space="preserve">CPF /CNPJ
</t>
    </r>
    <r>
      <rPr>
        <b/>
        <sz val="16"/>
        <color rgb="FFFF0000"/>
        <rFont val="Times New Roman"/>
        <family val="1"/>
      </rPr>
      <t>Apenas Números</t>
    </r>
  </si>
  <si>
    <t>Valor Líquido</t>
  </si>
  <si>
    <t>Deságio</t>
  </si>
  <si>
    <t xml:space="preserve">Taxa : </t>
  </si>
  <si>
    <t>BORDERÔ</t>
  </si>
  <si>
    <t>V.B.</t>
  </si>
  <si>
    <t>V.L.</t>
  </si>
  <si>
    <t>Cedente:</t>
  </si>
  <si>
    <t>CNPJ</t>
  </si>
  <si>
    <t>Deságio:</t>
  </si>
  <si>
    <t>Normal</t>
  </si>
  <si>
    <t>Comissária</t>
  </si>
  <si>
    <t>Sim</t>
  </si>
  <si>
    <t>Não</t>
  </si>
  <si>
    <t>FDS</t>
  </si>
  <si>
    <t>Float</t>
  </si>
  <si>
    <t>Email</t>
  </si>
  <si>
    <t>Telefone</t>
  </si>
  <si>
    <t>CEP</t>
  </si>
  <si>
    <t>Tx Ad.:</t>
  </si>
  <si>
    <t>Assunto</t>
  </si>
  <si>
    <t>Fim do corpo de email</t>
  </si>
  <si>
    <t>Início do corpo de email</t>
  </si>
  <si>
    <t>Linha iniciar borderô</t>
  </si>
  <si>
    <t>Linha iniciar emails</t>
  </si>
  <si>
    <t>Linha final bordero</t>
  </si>
  <si>
    <t>Sistema+A1:M12A1:M1A1:M73</t>
  </si>
  <si>
    <t>CNPJ CONTRATANTE:</t>
  </si>
  <si>
    <t>NOME CONTRATANTE:</t>
  </si>
  <si>
    <r>
      <t>TIPO DOCUMENTO</t>
    </r>
    <r>
      <rPr>
        <b/>
        <i/>
        <sz val="10"/>
        <rFont val="Arial"/>
        <family val="2"/>
      </rPr>
      <t xml:space="preserve"> </t>
    </r>
    <r>
      <rPr>
        <b/>
        <sz val="10"/>
        <rFont val="Arial"/>
        <family val="2"/>
      </rPr>
      <t>(CH, DM ou NP)</t>
    </r>
  </si>
  <si>
    <t>DM</t>
  </si>
  <si>
    <t>CNPJ/CPF SACADO</t>
  </si>
  <si>
    <t>RAZÃO SOCIAL/NOME</t>
  </si>
  <si>
    <t>LOGRADOURO</t>
  </si>
  <si>
    <t>NUMERO LOGRADOURO</t>
  </si>
  <si>
    <t>COMPLEMENTO</t>
  </si>
  <si>
    <t>BAIRRO</t>
  </si>
  <si>
    <t>CIDADE</t>
  </si>
  <si>
    <t>Nº DOCUMENTO</t>
  </si>
  <si>
    <t>VALOR</t>
  </si>
  <si>
    <t>CMC7</t>
  </si>
  <si>
    <t>DANFE</t>
  </si>
  <si>
    <t/>
  </si>
  <si>
    <t>Pasta Import S</t>
  </si>
  <si>
    <t>Pasta Import A</t>
  </si>
  <si>
    <t>Pasta Import O7</t>
  </si>
  <si>
    <t>Pasta Import BG</t>
  </si>
  <si>
    <t>Pasta Import BS</t>
  </si>
  <si>
    <t>C:\Users\PedroAfonsodeAlmeida\Desktop\Teste\</t>
  </si>
  <si>
    <t>PMP</t>
  </si>
  <si>
    <t>Ad.</t>
  </si>
  <si>
    <r>
      <t xml:space="preserve">TELEFONE     </t>
    </r>
    <r>
      <rPr>
        <b/>
        <sz val="16"/>
        <color rgb="FFFF0000"/>
        <rFont val="Times New Roman"/>
        <family val="1"/>
      </rPr>
      <t>Apenas números</t>
    </r>
  </si>
  <si>
    <t>pend.</t>
  </si>
  <si>
    <t>5,00</t>
  </si>
  <si>
    <t>rec</t>
  </si>
  <si>
    <t>Mariana Luz</t>
  </si>
  <si>
    <t>Gustavo Oliveira</t>
  </si>
  <si>
    <t>Operador Padrão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</si>
  <si>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</si>
  <si>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</si>
  <si>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</si>
  <si>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</si>
  <si>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</si>
  <si>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</si>
  <si>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</si>
  <si>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</si>
  <si>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</si>
  <si>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</si>
  <si>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</si>
  <si>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</si>
  <si>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</si>
  <si>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</si>
  <si>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</si>
  <si>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</si>
  <si>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</si>
  <si>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</si>
  <si>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</si>
  <si>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</si>
  <si>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</si>
  <si>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</si>
  <si>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</si>
  <si>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</si>
  <si>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</si>
  <si>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</si>
  <si>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</si>
  <si>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</si>
  <si>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</si>
  <si>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</si>
  <si>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</si>
  <si>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</si>
  <si>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</si>
  <si>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</si>
  <si>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</si>
  <si>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</si>
  <si>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</si>
  <si>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</si>
  <si>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</si>
  <si>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</si>
  <si>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</si>
  <si>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</si>
  <si>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</si>
  <si>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</si>
  <si>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</si>
  <si>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</si>
  <si>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</si>
  <si>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</si>
  <si>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</si>
  <si>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</si>
  <si>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</si>
  <si>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</si>
  <si>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</si>
  <si>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</si>
  <si>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</si>
  <si>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</si>
  <si>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</si>
  <si>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</si>
  <si>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</si>
  <si>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</si>
  <si>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</si>
  <si>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</si>
  <si>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</si>
  <si>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</si>
  <si>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</si>
  <si>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Tarifaço</t>
  </si>
  <si>
    <t>AVENIDA PROFESSOR MARIO WERNECK - 300 - SALA 1002 BLOCO 2</t>
  </si>
  <si>
    <t>ESTORIL</t>
  </si>
  <si>
    <t>BELO HORIZONTE</t>
  </si>
  <si>
    <t>MG</t>
  </si>
  <si>
    <t>Mariza Barros</t>
  </si>
  <si>
    <t>Stefer.engenharia@gmail.com.qcert.email</t>
  </si>
  <si>
    <t>333-001;14/05/2026;23/06/2026;R$5.120,00</t>
  </si>
  <si>
    <t>333-002;14/05/2026;03/07/2026;R$5.120,00</t>
  </si>
  <si>
    <t>333-003;14/05/2026;13/07/2026;R$5.120,00</t>
  </si>
  <si>
    <t>333-004;14/05/2026;23/07/2026;R$5.120,00</t>
  </si>
  <si>
    <t>333-005;14/05/2026;03/08/2026;R$5.120,00</t>
  </si>
  <si>
    <t>Cristiane Martinho</t>
  </si>
  <si>
    <t>Francisco Júnior</t>
  </si>
  <si>
    <t>Lucas Moreira</t>
  </si>
  <si>
    <t xml:space="preserve">Pendências + Recompras: </t>
  </si>
  <si>
    <t>Arnaldo Larcher</t>
  </si>
  <si>
    <t xml:space="preserve">Vanessa Prado </t>
  </si>
  <si>
    <t>Controle</t>
  </si>
  <si>
    <t>Liberado</t>
  </si>
  <si>
    <t>Bloqueado</t>
  </si>
  <si>
    <t>LOGMA ENGENHARIA INDUSTRIAL LTDA</t>
  </si>
  <si>
    <t>42422048000219</t>
  </si>
  <si>
    <t>MINERACAO AURIZONA EQUINOX GOLD</t>
  </si>
  <si>
    <t>145-001</t>
  </si>
  <si>
    <t>09/06/2026</t>
  </si>
  <si>
    <t>08/07/2026</t>
  </si>
  <si>
    <t>BLOQUEADO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</si>
</sst>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00000\-000"/>
    <numFmt numFmtId="167" formatCode="&quot;(&quot;##&quot;) &quot;#&quot; &quot;####&quot;-&quot;####"/>
    <numFmt numFmtId="168" formatCode="00&quot;.&quot;000&quot;.&quot;000&quot;/&quot;0000&quot;-&quot;00"/>
    <numFmt numFmtId="169" formatCode="&quot;(&quot;##&quot;) &quot;####&quot;-&quot;####"/>
  </numFmts>
  <fonts count="5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rial"/>
      <family val="2"/>
    </font>
    <font>
      <sz val="11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6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rgb="FF000000"/>
      <name val="Arial"/>
      <family val="2"/>
    </font>
    <font>
      <sz val="22"/>
      <color theme="1"/>
      <name val="Times New Roman"/>
      <family val="1"/>
    </font>
    <font>
      <b/>
      <sz val="10"/>
      <color rgb="FF1F1F1F"/>
      <name val="Google Sans"/>
    </font>
    <font>
      <b/>
      <sz val="22"/>
      <color theme="1"/>
      <name val="Times New Roman"/>
      <family val="1"/>
    </font>
    <font>
      <b/>
      <u/>
      <sz val="22"/>
      <color theme="1"/>
      <name val="Times New Roman"/>
      <family val="1"/>
    </font>
    <font>
      <b/>
      <sz val="12"/>
      <color rgb="FF333333"/>
      <name val="Arial"/>
      <family val="2"/>
    </font>
    <font>
      <sz val="10"/>
      <color rgb="FF000000"/>
      <name val="Arial"/>
      <family val="2"/>
    </font>
    <font>
      <sz val="16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  <font>
      <b/>
      <sz val="11"/>
      <color theme="1"/>
      <name val="Times New Roman"/>
      <family val="1"/>
    </font>
    <font>
      <sz val="10"/>
      <color indexed="64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9">
    <xf numFmtId="0" fontId="0" fillId="0" borderId="0"/>
    <xf numFmtId="0" fontId="12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1" fillId="0" borderId="0"/>
    <xf numFmtId="43" fontId="7" fillId="0" borderId="0" applyFont="0" applyFill="0" applyBorder="0" applyProtection="0"/>
    <xf numFmtId="0" fontId="37" fillId="0" borderId="0"/>
    <xf numFmtId="9" fontId="24" fillId="0" borderId="0" applyFont="0" applyFill="0" applyBorder="0" applyAlignment="0" applyProtection="0"/>
    <xf numFmtId="0" fontId="50" fillId="0" borderId="0"/>
  </cellStyleXfs>
  <cellXfs count="245">
    <xf numFmtId="0" fontId="0" fillId="0" borderId="0" xfId="0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23" fillId="2" borderId="2" xfId="0" applyFont="1" applyFill="1" applyBorder="1" applyAlignment="1">
      <alignment horizontal="center" vertical="center" wrapText="1"/>
    </xf>
    <xf numFmtId="14" fontId="0" fillId="0" borderId="0" xfId="0" applyNumberFormat="1"/>
    <xf numFmtId="49" fontId="10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9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20" fillId="2" borderId="11" xfId="0" applyFont="1" applyFill="1" applyBorder="1" applyAlignment="1">
      <alignment horizontal="center" vertical="center" wrapText="1"/>
    </xf>
    <xf numFmtId="49" fontId="13" fillId="0" borderId="13" xfId="0" quotePrefix="1" applyNumberFormat="1" applyFon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right"/>
    </xf>
    <xf numFmtId="49" fontId="28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4" fontId="28" fillId="3" borderId="1" xfId="2" applyFont="1" applyFill="1" applyBorder="1" applyAlignment="1">
      <alignment horizontal="center"/>
    </xf>
    <xf numFmtId="44" fontId="0" fillId="3" borderId="1" xfId="2" applyFont="1" applyFill="1" applyBorder="1"/>
    <xf numFmtId="44" fontId="0" fillId="0" borderId="0" xfId="2" applyFont="1"/>
    <xf numFmtId="49" fontId="28" fillId="3" borderId="1" xfId="3" applyNumberFormat="1" applyFont="1" applyFill="1" applyBorder="1"/>
    <xf numFmtId="49" fontId="0" fillId="0" borderId="0" xfId="3" applyNumberFormat="1" applyFont="1"/>
    <xf numFmtId="49" fontId="28" fillId="0" borderId="0" xfId="0" applyNumberFormat="1" applyFont="1"/>
    <xf numFmtId="0" fontId="28" fillId="0" borderId="0" xfId="0" applyFont="1"/>
    <xf numFmtId="14" fontId="28" fillId="3" borderId="1" xfId="0" applyNumberFormat="1" applyFont="1" applyFill="1" applyBorder="1" applyAlignment="1">
      <alignment horizontal="center"/>
    </xf>
    <xf numFmtId="49" fontId="33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0" borderId="1" xfId="0" applyBorder="1"/>
    <xf numFmtId="43" fontId="0" fillId="3" borderId="1" xfId="3" applyFont="1" applyFill="1" applyBorder="1"/>
    <xf numFmtId="43" fontId="0" fillId="0" borderId="1" xfId="3" applyFont="1" applyBorder="1"/>
    <xf numFmtId="10" fontId="0" fillId="3" borderId="1" xfId="0" applyNumberFormat="1" applyFill="1" applyBorder="1"/>
    <xf numFmtId="43" fontId="0" fillId="0" borderId="1" xfId="0" applyNumberFormat="1" applyBorder="1"/>
    <xf numFmtId="164" fontId="0" fillId="0" borderId="1" xfId="3" applyNumberFormat="1" applyFont="1" applyBorder="1"/>
    <xf numFmtId="14" fontId="0" fillId="0" borderId="1" xfId="0" applyNumberFormat="1" applyBorder="1"/>
    <xf numFmtId="0" fontId="15" fillId="0" borderId="18" xfId="0" applyFont="1" applyBorder="1" applyAlignment="1">
      <alignment horizontal="right" vertical="center" wrapText="1"/>
    </xf>
    <xf numFmtId="0" fontId="8" fillId="3" borderId="1" xfId="3" quotePrefix="1" applyNumberFormat="1" applyFont="1" applyFill="1" applyBorder="1" applyAlignment="1">
      <alignment horizontal="right"/>
    </xf>
    <xf numFmtId="0" fontId="8" fillId="3" borderId="1" xfId="0" applyFont="1" applyFill="1" applyBorder="1"/>
    <xf numFmtId="0" fontId="9" fillId="3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center"/>
    </xf>
    <xf numFmtId="0" fontId="0" fillId="3" borderId="1" xfId="0" applyFill="1" applyBorder="1"/>
    <xf numFmtId="0" fontId="8" fillId="0" borderId="0" xfId="0" applyFont="1"/>
    <xf numFmtId="0" fontId="28" fillId="3" borderId="0" xfId="0" applyFont="1" applyFill="1" applyAlignment="1">
      <alignment horizontal="center"/>
    </xf>
    <xf numFmtId="44" fontId="0" fillId="0" borderId="1" xfId="0" applyNumberFormat="1" applyBorder="1"/>
    <xf numFmtId="49" fontId="28" fillId="0" borderId="1" xfId="0" applyNumberFormat="1" applyFont="1" applyBorder="1" applyAlignment="1">
      <alignment horizontal="center"/>
    </xf>
    <xf numFmtId="0" fontId="4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49" fontId="41" fillId="0" borderId="13" xfId="0" quotePrefix="1" applyNumberFormat="1" applyFont="1" applyBorder="1" applyAlignment="1">
      <alignment horizontal="center" vertical="center" wrapText="1"/>
    </xf>
    <xf numFmtId="14" fontId="41" fillId="0" borderId="1" xfId="0" applyNumberFormat="1" applyFont="1" applyBorder="1" applyAlignment="1">
      <alignment horizontal="center" vertical="center" wrapText="1"/>
    </xf>
    <xf numFmtId="44" fontId="41" fillId="0" borderId="1" xfId="2" applyFont="1" applyBorder="1" applyAlignment="1">
      <alignment vertical="center" wrapText="1"/>
    </xf>
    <xf numFmtId="44" fontId="41" fillId="4" borderId="1" xfId="2" applyFont="1" applyFill="1" applyBorder="1" applyAlignment="1">
      <alignment horizontal="center" vertical="center" wrapText="1"/>
    </xf>
    <xf numFmtId="0" fontId="41" fillId="0" borderId="1" xfId="0" applyFont="1" applyBorder="1" applyAlignment="1" applyProtection="1">
      <alignment horizontal="center" vertical="center" wrapText="1"/>
      <protection locked="0"/>
    </xf>
    <xf numFmtId="49" fontId="23" fillId="0" borderId="13" xfId="0" applyNumberFormat="1" applyFont="1" applyBorder="1" applyAlignment="1">
      <alignment vertical="center" wrapText="1"/>
    </xf>
    <xf numFmtId="0" fontId="14" fillId="0" borderId="18" xfId="0" applyFont="1" applyBorder="1" applyAlignment="1">
      <alignment horizontal="right" vertical="center" wrapText="1"/>
    </xf>
    <xf numFmtId="0" fontId="23" fillId="0" borderId="13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right" vertical="center" wrapText="1"/>
    </xf>
    <xf numFmtId="0" fontId="41" fillId="0" borderId="1" xfId="0" applyFont="1" applyBorder="1" applyAlignment="1">
      <alignment horizontal="left" vertical="center" wrapText="1"/>
    </xf>
    <xf numFmtId="0" fontId="40" fillId="0" borderId="1" xfId="0" quotePrefix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28" fillId="0" borderId="18" xfId="0" applyFont="1" applyBorder="1" applyAlignment="1">
      <alignment horizontal="center" wrapText="1"/>
    </xf>
    <xf numFmtId="0" fontId="16" fillId="0" borderId="1" xfId="0" quotePrefix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right" vertical="center" wrapText="1"/>
    </xf>
    <xf numFmtId="0" fontId="17" fillId="0" borderId="1" xfId="0" applyFont="1" applyBorder="1" applyAlignment="1">
      <alignment horizontal="right"/>
    </xf>
    <xf numFmtId="0" fontId="19" fillId="0" borderId="1" xfId="1" applyNumberFormat="1" applyFont="1" applyBorder="1" applyAlignment="1">
      <alignment horizontal="left" vertical="center" wrapText="1"/>
    </xf>
    <xf numFmtId="44" fontId="16" fillId="0" borderId="1" xfId="2" applyFont="1" applyBorder="1" applyAlignment="1">
      <alignment horizontal="center" vertical="center" wrapText="1"/>
    </xf>
    <xf numFmtId="0" fontId="0" fillId="3" borderId="0" xfId="0" applyFill="1"/>
    <xf numFmtId="0" fontId="28" fillId="3" borderId="1" xfId="0" applyFont="1" applyFill="1" applyBorder="1" applyAlignment="1">
      <alignment horizontal="center"/>
    </xf>
    <xf numFmtId="14" fontId="38" fillId="3" borderId="1" xfId="0" applyNumberFormat="1" applyFont="1" applyFill="1" applyBorder="1" applyAlignment="1">
      <alignment horizontal="center" vertical="center" wrapText="1"/>
    </xf>
    <xf numFmtId="44" fontId="38" fillId="3" borderId="1" xfId="2" applyFont="1" applyFill="1" applyBorder="1" applyAlignment="1">
      <alignment vertical="center" wrapText="1"/>
    </xf>
    <xf numFmtId="0" fontId="28" fillId="3" borderId="1" xfId="0" applyFont="1" applyFill="1" applyBorder="1"/>
    <xf numFmtId="43" fontId="28" fillId="3" borderId="1" xfId="0" applyNumberFormat="1" applyFont="1" applyFill="1" applyBorder="1"/>
    <xf numFmtId="0" fontId="15" fillId="0" borderId="26" xfId="0" applyFont="1" applyBorder="1" applyAlignment="1">
      <alignment horizontal="center" vertical="center" wrapText="1"/>
    </xf>
    <xf numFmtId="0" fontId="23" fillId="0" borderId="11" xfId="0" applyFont="1" applyBorder="1" applyAlignment="1">
      <alignment vertical="center" wrapText="1"/>
    </xf>
    <xf numFmtId="44" fontId="41" fillId="4" borderId="19" xfId="2" applyFont="1" applyFill="1" applyBorder="1" applyAlignment="1">
      <alignment horizontal="center" vertical="center" wrapText="1"/>
    </xf>
    <xf numFmtId="14" fontId="16" fillId="0" borderId="15" xfId="0" applyNumberFormat="1" applyFont="1" applyBorder="1" applyAlignment="1">
      <alignment horizontal="center" vertical="center" wrapText="1"/>
    </xf>
    <xf numFmtId="44" fontId="23" fillId="0" borderId="14" xfId="2" applyFont="1" applyBorder="1" applyAlignment="1">
      <alignment vertical="center" wrapText="1"/>
    </xf>
    <xf numFmtId="0" fontId="39" fillId="5" borderId="10" xfId="0" applyFont="1" applyFill="1" applyBorder="1" applyAlignment="1">
      <alignment horizontal="center" vertical="center"/>
    </xf>
    <xf numFmtId="10" fontId="39" fillId="5" borderId="29" xfId="7" applyNumberFormat="1" applyFont="1" applyFill="1" applyBorder="1" applyAlignment="1">
      <alignment vertical="center"/>
    </xf>
    <xf numFmtId="0" fontId="15" fillId="0" borderId="1" xfId="0" applyFont="1" applyBorder="1" applyAlignment="1">
      <alignment horizontal="right" vertical="center" wrapText="1"/>
    </xf>
    <xf numFmtId="0" fontId="15" fillId="3" borderId="1" xfId="0" applyFont="1" applyFill="1" applyBorder="1" applyAlignment="1">
      <alignment horizontal="right" vertical="center" wrapText="1"/>
    </xf>
    <xf numFmtId="10" fontId="0" fillId="3" borderId="1" xfId="7" applyNumberFormat="1" applyFont="1" applyFill="1" applyBorder="1" applyAlignment="1">
      <alignment horizontal="center"/>
    </xf>
    <xf numFmtId="165" fontId="20" fillId="3" borderId="19" xfId="0" applyNumberFormat="1" applyFont="1" applyFill="1" applyBorder="1" applyAlignment="1">
      <alignment vertical="center" wrapText="1"/>
    </xf>
    <xf numFmtId="44" fontId="41" fillId="0" borderId="9" xfId="2" applyFont="1" applyBorder="1" applyAlignment="1">
      <alignment vertical="center" wrapText="1"/>
    </xf>
    <xf numFmtId="0" fontId="28" fillId="0" borderId="2" xfId="0" applyFont="1" applyBorder="1" applyAlignment="1">
      <alignment horizontal="center"/>
    </xf>
    <xf numFmtId="0" fontId="28" fillId="0" borderId="32" xfId="0" applyFont="1" applyBorder="1" applyAlignment="1">
      <alignment horizontal="center"/>
    </xf>
    <xf numFmtId="10" fontId="21" fillId="3" borderId="9" xfId="7" applyNumberFormat="1" applyFont="1" applyFill="1" applyBorder="1" applyAlignment="1" applyProtection="1">
      <alignment horizontal="center" vertical="center" wrapText="1"/>
      <protection locked="0"/>
    </xf>
    <xf numFmtId="0" fontId="20" fillId="2" borderId="33" xfId="0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0" fontId="20" fillId="2" borderId="34" xfId="0" applyFont="1" applyFill="1" applyBorder="1" applyAlignment="1">
      <alignment horizontal="center" vertical="center" wrapText="1"/>
    </xf>
    <xf numFmtId="14" fontId="13" fillId="0" borderId="0" xfId="0" quotePrefix="1" applyNumberFormat="1" applyFont="1" applyAlignment="1">
      <alignment vertical="center" wrapText="1"/>
    </xf>
    <xf numFmtId="49" fontId="21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 wrapText="1"/>
    </xf>
    <xf numFmtId="0" fontId="41" fillId="0" borderId="1" xfId="0" applyFont="1" applyBorder="1" applyAlignment="1">
      <alignment horizontal="right" vertical="center" wrapText="1"/>
    </xf>
    <xf numFmtId="0" fontId="41" fillId="0" borderId="8" xfId="0" applyFont="1" applyBorder="1" applyAlignment="1">
      <alignment horizontal="right" vertical="center" wrapText="1"/>
    </xf>
    <xf numFmtId="49" fontId="13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27" fillId="6" borderId="1" xfId="0" applyNumberFormat="1" applyFont="1" applyFill="1" applyBorder="1" applyProtection="1">
      <protection locked="0"/>
    </xf>
    <xf numFmtId="0" fontId="26" fillId="6" borderId="1" xfId="0" applyFont="1" applyFill="1" applyBorder="1" applyProtection="1">
      <protection locked="0"/>
    </xf>
    <xf numFmtId="44" fontId="26" fillId="6" borderId="1" xfId="2" applyFont="1" applyFill="1" applyBorder="1" applyProtection="1">
      <protection locked="0"/>
    </xf>
    <xf numFmtId="49" fontId="26" fillId="6" borderId="1" xfId="0" applyNumberFormat="1" applyFont="1" applyFill="1" applyBorder="1" applyProtection="1">
      <protection locked="0"/>
    </xf>
    <xf numFmtId="0" fontId="6" fillId="0" borderId="0" xfId="0" applyFont="1"/>
    <xf numFmtId="167" fontId="13" fillId="6" borderId="1" xfId="0" applyNumberFormat="1" applyFont="1" applyFill="1" applyBorder="1" applyAlignment="1" applyProtection="1">
      <alignment vertical="center" wrapText="1"/>
      <protection locked="0"/>
    </xf>
    <xf numFmtId="166" fontId="36" fillId="6" borderId="1" xfId="0" applyNumberFormat="1" applyFont="1" applyFill="1" applyBorder="1" applyProtection="1">
      <protection locked="0"/>
    </xf>
    <xf numFmtId="0" fontId="5" fillId="0" borderId="0" xfId="0" applyFont="1"/>
    <xf numFmtId="9" fontId="0" fillId="0" borderId="1" xfId="0" applyNumberFormat="1" applyBorder="1"/>
    <xf numFmtId="0" fontId="4" fillId="0" borderId="1" xfId="0" applyFont="1" applyBorder="1"/>
    <xf numFmtId="49" fontId="26" fillId="6" borderId="1" xfId="3" quotePrefix="1" applyNumberFormat="1" applyFont="1" applyFill="1" applyBorder="1" applyAlignment="1" applyProtection="1">
      <alignment horizontal="left"/>
      <protection locked="0"/>
    </xf>
    <xf numFmtId="0" fontId="45" fillId="0" borderId="0" xfId="0" applyFont="1"/>
    <xf numFmtId="2" fontId="46" fillId="7" borderId="35" xfId="0" applyNumberFormat="1" applyFont="1" applyFill="1" applyBorder="1"/>
    <xf numFmtId="2" fontId="46" fillId="7" borderId="13" xfId="0" applyNumberFormat="1" applyFont="1" applyFill="1" applyBorder="1"/>
    <xf numFmtId="2" fontId="48" fillId="7" borderId="14" xfId="0" applyNumberFormat="1" applyFont="1" applyFill="1" applyBorder="1" applyAlignment="1">
      <alignment horizontal="left" vertical="center"/>
    </xf>
    <xf numFmtId="44" fontId="45" fillId="0" borderId="0" xfId="2" applyFont="1"/>
    <xf numFmtId="2" fontId="45" fillId="0" borderId="0" xfId="0" applyNumberFormat="1" applyFont="1"/>
    <xf numFmtId="1" fontId="45" fillId="0" borderId="0" xfId="0" applyNumberFormat="1" applyFont="1"/>
    <xf numFmtId="14" fontId="45" fillId="0" borderId="0" xfId="0" applyNumberFormat="1" applyFont="1"/>
    <xf numFmtId="2" fontId="45" fillId="0" borderId="0" xfId="2" applyNumberFormat="1" applyFont="1"/>
    <xf numFmtId="2" fontId="48" fillId="7" borderId="25" xfId="0" applyNumberFormat="1" applyFont="1" applyFill="1" applyBorder="1" applyAlignment="1">
      <alignment horizontal="center"/>
    </xf>
    <xf numFmtId="2" fontId="48" fillId="7" borderId="36" xfId="0" applyNumberFormat="1" applyFont="1" applyFill="1" applyBorder="1" applyAlignment="1">
      <alignment horizontal="center"/>
    </xf>
    <xf numFmtId="1" fontId="48" fillId="7" borderId="36" xfId="0" applyNumberFormat="1" applyFont="1" applyFill="1" applyBorder="1" applyAlignment="1">
      <alignment horizontal="center"/>
    </xf>
    <xf numFmtId="14" fontId="48" fillId="7" borderId="36" xfId="0" applyNumberFormat="1" applyFont="1" applyFill="1" applyBorder="1" applyAlignment="1">
      <alignment horizontal="center"/>
    </xf>
    <xf numFmtId="2" fontId="48" fillId="7" borderId="36" xfId="2" applyNumberFormat="1" applyFont="1" applyFill="1" applyBorder="1" applyAlignment="1" applyProtection="1">
      <alignment horizontal="center"/>
    </xf>
    <xf numFmtId="44" fontId="48" fillId="7" borderId="36" xfId="2" applyFont="1" applyFill="1" applyBorder="1" applyAlignment="1" applyProtection="1">
      <alignment horizontal="center"/>
    </xf>
    <xf numFmtId="49" fontId="3" fillId="0" borderId="1" xfId="0" applyNumberFormat="1" applyFont="1" applyBorder="1"/>
    <xf numFmtId="0" fontId="3" fillId="0" borderId="1" xfId="0" applyFont="1" applyBorder="1"/>
    <xf numFmtId="0" fontId="45" fillId="0" borderId="1" xfId="2" applyNumberFormat="1" applyFont="1" applyBorder="1"/>
    <xf numFmtId="0" fontId="12" fillId="0" borderId="1" xfId="1" applyNumberFormat="1" applyBorder="1"/>
    <xf numFmtId="0" fontId="2" fillId="0" borderId="0" xfId="0" applyFont="1"/>
    <xf numFmtId="0" fontId="12" fillId="6" borderId="1" xfId="1" applyFill="1" applyBorder="1" applyAlignment="1" applyProtection="1">
      <alignment horizontal="left"/>
      <protection locked="0"/>
    </xf>
    <xf numFmtId="1" fontId="8" fillId="3" borderId="1" xfId="3" applyNumberFormat="1" applyFont="1" applyFill="1" applyBorder="1" applyAlignment="1">
      <alignment horizontal="right"/>
    </xf>
    <xf numFmtId="1" fontId="0" fillId="3" borderId="1" xfId="0" applyNumberFormat="1" applyFill="1" applyBorder="1"/>
    <xf numFmtId="0" fontId="41" fillId="0" borderId="3" xfId="0" applyFont="1" applyBorder="1" applyAlignment="1">
      <alignment vertical="center" wrapText="1"/>
    </xf>
    <xf numFmtId="0" fontId="41" fillId="0" borderId="30" xfId="0" applyFont="1" applyBorder="1" applyAlignment="1">
      <alignment vertical="center" wrapText="1"/>
    </xf>
    <xf numFmtId="0" fontId="41" fillId="0" borderId="4" xfId="0" applyFont="1" applyBorder="1" applyAlignment="1">
      <alignment vertical="center" wrapText="1"/>
    </xf>
    <xf numFmtId="0" fontId="41" fillId="0" borderId="22" xfId="0" applyFont="1" applyBorder="1" applyAlignment="1">
      <alignment vertical="center" wrapText="1"/>
    </xf>
    <xf numFmtId="14" fontId="10" fillId="0" borderId="0" xfId="0" applyNumberFormat="1" applyFont="1" applyAlignment="1">
      <alignment vertical="center" wrapText="1"/>
    </xf>
    <xf numFmtId="0" fontId="41" fillId="0" borderId="1" xfId="0" applyFont="1" applyBorder="1" applyAlignment="1">
      <alignment horizontal="center" vertical="center" wrapText="1"/>
    </xf>
    <xf numFmtId="1" fontId="0" fillId="0" borderId="1" xfId="0" quotePrefix="1" applyNumberFormat="1" applyBorder="1"/>
    <xf numFmtId="164" fontId="41" fillId="0" borderId="1" xfId="3" applyNumberFormat="1" applyFont="1" applyBorder="1" applyAlignment="1">
      <alignment vertical="center" wrapText="1"/>
    </xf>
    <xf numFmtId="49" fontId="1" fillId="3" borderId="1" xfId="3" applyNumberFormat="1" applyFont="1" applyFill="1" applyBorder="1" applyAlignment="1">
      <alignment horizontal="right"/>
    </xf>
    <xf numFmtId="43" fontId="41" fillId="0" borderId="1" xfId="0" applyNumberFormat="1" applyFont="1" applyBorder="1" applyAlignment="1">
      <alignment vertical="center" wrapText="1"/>
    </xf>
    <xf numFmtId="0" fontId="28" fillId="0" borderId="38" xfId="0" applyFont="1" applyBorder="1" applyAlignment="1">
      <alignment horizontal="center"/>
    </xf>
    <xf numFmtId="0" fontId="41" fillId="0" borderId="1" xfId="0" applyFont="1" applyBorder="1" applyAlignment="1">
      <alignment vertical="center" wrapText="1"/>
    </xf>
    <xf numFmtId="0" fontId="1" fillId="3" borderId="0" xfId="0" applyFont="1" applyFill="1"/>
    <xf numFmtId="0" fontId="15" fillId="0" borderId="31" xfId="0" applyFont="1" applyBorder="1" applyAlignment="1">
      <alignment horizontal="right" vertical="center" wrapText="1"/>
    </xf>
    <xf numFmtId="0" fontId="15" fillId="3" borderId="16" xfId="0" applyFont="1" applyFill="1" applyBorder="1" applyAlignment="1" applyProtection="1">
      <alignment horizontal="center" vertical="center" wrapText="1"/>
      <protection locked="0"/>
    </xf>
    <xf numFmtId="10" fontId="15" fillId="0" borderId="10" xfId="0" applyNumberFormat="1" applyFont="1" applyBorder="1" applyAlignment="1">
      <alignment horizontal="center" vertical="center" wrapText="1"/>
    </xf>
    <xf numFmtId="0" fontId="15" fillId="0" borderId="40" xfId="0" applyFont="1" applyBorder="1" applyAlignment="1">
      <alignment horizontal="right" vertical="center" wrapText="1"/>
    </xf>
    <xf numFmtId="49" fontId="26" fillId="6" borderId="18" xfId="0" quotePrefix="1" applyNumberFormat="1" applyFont="1" applyFill="1" applyBorder="1" applyAlignment="1" applyProtection="1">
      <alignment horizontal="left"/>
      <protection locked="0"/>
    </xf>
    <xf numFmtId="0" fontId="26" fillId="6" borderId="18" xfId="0" applyFont="1" applyFill="1" applyBorder="1" applyProtection="1">
      <protection locked="0"/>
    </xf>
    <xf numFmtId="49" fontId="13" fillId="6" borderId="18" xfId="0" applyNumberFormat="1" applyFont="1" applyFill="1" applyBorder="1" applyAlignment="1" applyProtection="1">
      <alignment horizontal="center" vertical="center" wrapText="1"/>
      <protection locked="0"/>
    </xf>
    <xf numFmtId="49" fontId="26" fillId="6" borderId="18" xfId="0" applyNumberFormat="1" applyFont="1" applyFill="1" applyBorder="1" applyProtection="1">
      <protection locked="0"/>
    </xf>
    <xf numFmtId="0" fontId="12" fillId="6" borderId="18" xfId="1" applyFill="1" applyBorder="1" applyAlignment="1" applyProtection="1">
      <alignment horizontal="left"/>
      <protection locked="0"/>
    </xf>
    <xf numFmtId="167" fontId="13" fillId="6" borderId="18" xfId="0" applyNumberFormat="1" applyFont="1" applyFill="1" applyBorder="1" applyAlignment="1" applyProtection="1">
      <alignment vertical="center" wrapText="1"/>
      <protection locked="0"/>
    </xf>
    <xf numFmtId="44" fontId="26" fillId="6" borderId="18" xfId="2" applyFont="1" applyFill="1" applyBorder="1" applyProtection="1">
      <protection locked="0"/>
    </xf>
    <xf numFmtId="49" fontId="27" fillId="6" borderId="18" xfId="0" applyNumberFormat="1" applyFont="1" applyFill="1" applyBorder="1" applyProtection="1">
      <protection locked="0"/>
    </xf>
    <xf numFmtId="166" fontId="36" fillId="6" borderId="12" xfId="0" applyNumberFormat="1" applyFont="1" applyFill="1" applyBorder="1" applyProtection="1">
      <protection locked="0"/>
    </xf>
    <xf numFmtId="49" fontId="26" fillId="6" borderId="1" xfId="0" quotePrefix="1" applyNumberFormat="1" applyFont="1" applyFill="1" applyBorder="1" applyAlignment="1" applyProtection="1">
      <alignment horizontal="left"/>
      <protection locked="0"/>
    </xf>
    <xf numFmtId="0" fontId="51" fillId="6" borderId="1" xfId="1" applyFont="1" applyFill="1" applyBorder="1" applyAlignment="1" applyProtection="1">
      <alignment horizontal="left"/>
      <protection locked="0"/>
    </xf>
    <xf numFmtId="166" fontId="36" fillId="6" borderId="8" xfId="0" applyNumberFormat="1" applyFont="1" applyFill="1" applyBorder="1" applyProtection="1">
      <protection locked="0"/>
    </xf>
    <xf numFmtId="49" fontId="26" fillId="6" borderId="1" xfId="0" applyNumberFormat="1" applyFont="1" applyFill="1" applyBorder="1" applyAlignment="1" applyProtection="1">
      <alignment horizontal="left"/>
      <protection locked="0"/>
    </xf>
    <xf numFmtId="169" fontId="13" fillId="6" borderId="1" xfId="0" applyNumberFormat="1" applyFont="1" applyFill="1" applyBorder="1" applyAlignment="1" applyProtection="1">
      <alignment vertical="center" wrapText="1"/>
      <protection locked="0"/>
    </xf>
    <xf numFmtId="166" fontId="13" fillId="6" borderId="8" xfId="0" applyNumberFormat="1" applyFont="1" applyFill="1" applyBorder="1" applyAlignment="1" applyProtection="1">
      <alignment horizontal="right" vertical="center" wrapText="1"/>
      <protection locked="0"/>
    </xf>
    <xf numFmtId="49" fontId="13" fillId="6" borderId="1" xfId="0" applyNumberFormat="1" applyFont="1" applyFill="1" applyBorder="1" applyAlignment="1" applyProtection="1">
      <alignment horizontal="right" vertical="center" wrapText="1"/>
      <protection locked="0"/>
    </xf>
    <xf numFmtId="0" fontId="51" fillId="6" borderId="1" xfId="1" applyFont="1" applyFill="1" applyBorder="1" applyAlignment="1" applyProtection="1">
      <alignment horizontal="left" vertical="center" wrapText="1"/>
      <protection locked="0"/>
    </xf>
    <xf numFmtId="0" fontId="41" fillId="0" borderId="5" xfId="0" applyFont="1" applyBorder="1" applyAlignment="1">
      <alignment horizontal="left" vertical="center" wrapText="1"/>
    </xf>
    <xf numFmtId="43" fontId="15" fillId="0" borderId="29" xfId="3" applyFont="1" applyBorder="1" applyAlignment="1" applyProtection="1">
      <alignment vertical="center" wrapText="1"/>
      <protection locked="0"/>
    </xf>
    <xf numFmtId="168" fontId="15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21" fillId="8" borderId="9" xfId="0" applyFont="1" applyFill="1" applyBorder="1" applyAlignment="1" applyProtection="1">
      <alignment horizontal="left" vertical="center" wrapText="1"/>
      <protection locked="0"/>
    </xf>
    <xf numFmtId="0" fontId="15" fillId="8" borderId="18" xfId="0" applyFont="1" applyFill="1" applyBorder="1" applyAlignment="1" applyProtection="1">
      <alignment horizontal="center" vertical="center" wrapText="1"/>
      <protection locked="0"/>
    </xf>
    <xf numFmtId="0" fontId="15" fillId="8" borderId="24" xfId="0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 applyProtection="1">
      <alignment vertical="center" wrapText="1"/>
      <protection locked="0"/>
    </xf>
    <xf numFmtId="0" fontId="34" fillId="0" borderId="21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49" fontId="15" fillId="0" borderId="13" xfId="0" applyNumberFormat="1" applyFont="1" applyBorder="1" applyAlignment="1">
      <alignment horizontal="right" vertical="center" wrapText="1"/>
    </xf>
    <xf numFmtId="49" fontId="15" fillId="0" borderId="1" xfId="0" applyNumberFormat="1" applyFont="1" applyBorder="1" applyAlignment="1">
      <alignment horizontal="right" vertical="center" wrapText="1"/>
    </xf>
    <xf numFmtId="44" fontId="15" fillId="0" borderId="13" xfId="2" applyFont="1" applyBorder="1" applyAlignment="1">
      <alignment horizontal="right" vertical="center" wrapText="1"/>
    </xf>
    <xf numFmtId="44" fontId="15" fillId="0" borderId="1" xfId="2" applyFont="1" applyBorder="1" applyAlignment="1">
      <alignment horizontal="right" vertical="center" wrapText="1"/>
    </xf>
    <xf numFmtId="0" fontId="15" fillId="0" borderId="11" xfId="0" applyFont="1" applyBorder="1" applyAlignment="1">
      <alignment horizontal="right" vertical="center" wrapText="1"/>
    </xf>
    <xf numFmtId="0" fontId="15" fillId="0" borderId="18" xfId="0" applyFont="1" applyBorder="1" applyAlignment="1">
      <alignment horizontal="right" vertical="center" wrapText="1"/>
    </xf>
    <xf numFmtId="49" fontId="15" fillId="0" borderId="14" xfId="0" applyNumberFormat="1" applyFont="1" applyBorder="1" applyAlignment="1">
      <alignment horizontal="right" vertical="center" wrapText="1"/>
    </xf>
    <xf numFmtId="49" fontId="15" fillId="0" borderId="19" xfId="0" applyNumberFormat="1" applyFont="1" applyBorder="1" applyAlignment="1">
      <alignment horizontal="right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right" vertical="center" wrapText="1"/>
    </xf>
    <xf numFmtId="0" fontId="34" fillId="0" borderId="25" xfId="0" applyFont="1" applyBorder="1" applyAlignment="1">
      <alignment horizontal="right" vertical="center" wrapText="1"/>
    </xf>
    <xf numFmtId="14" fontId="32" fillId="0" borderId="18" xfId="0" applyNumberFormat="1" applyFont="1" applyBorder="1" applyAlignment="1" applyProtection="1">
      <alignment horizontal="center" vertical="center" wrapText="1"/>
      <protection locked="0"/>
    </xf>
    <xf numFmtId="14" fontId="32" fillId="0" borderId="26" xfId="0" applyNumberFormat="1" applyFont="1" applyBorder="1" applyAlignment="1" applyProtection="1">
      <alignment horizontal="center" vertical="center" wrapText="1"/>
      <protection locked="0"/>
    </xf>
    <xf numFmtId="14" fontId="32" fillId="0" borderId="25" xfId="0" applyNumberFormat="1" applyFont="1" applyBorder="1" applyAlignment="1" applyProtection="1">
      <alignment horizontal="center" vertical="center" wrapText="1"/>
      <protection locked="0"/>
    </xf>
    <xf numFmtId="14" fontId="32" fillId="0" borderId="16" xfId="0" applyNumberFormat="1" applyFont="1" applyBorder="1" applyAlignment="1" applyProtection="1">
      <alignment horizontal="center" vertical="center" wrapText="1"/>
      <protection locked="0"/>
    </xf>
    <xf numFmtId="0" fontId="34" fillId="0" borderId="11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21" fillId="3" borderId="9" xfId="0" applyFont="1" applyFill="1" applyBorder="1" applyAlignment="1" applyProtection="1">
      <alignment horizontal="left" vertical="center"/>
      <protection locked="0"/>
    </xf>
    <xf numFmtId="0" fontId="21" fillId="3" borderId="39" xfId="0" applyFont="1" applyFill="1" applyBorder="1" applyAlignment="1" applyProtection="1">
      <alignment horizontal="left" vertical="center"/>
      <protection locked="0"/>
    </xf>
    <xf numFmtId="0" fontId="21" fillId="3" borderId="20" xfId="0" applyFont="1" applyFill="1" applyBorder="1" applyAlignment="1" applyProtection="1">
      <alignment horizontal="left" vertical="center"/>
      <protection locked="0"/>
    </xf>
    <xf numFmtId="0" fontId="44" fillId="7" borderId="1" xfId="0" applyFont="1" applyFill="1" applyBorder="1" applyAlignment="1">
      <alignment horizontal="center"/>
    </xf>
    <xf numFmtId="168" fontId="49" fillId="3" borderId="9" xfId="0" applyNumberFormat="1" applyFont="1" applyFill="1" applyBorder="1" applyAlignment="1" applyProtection="1">
      <alignment horizontal="left" vertical="center" wrapText="1"/>
      <protection locked="0"/>
    </xf>
    <xf numFmtId="168" fontId="49" fillId="3" borderId="39" xfId="0" applyNumberFormat="1" applyFont="1" applyFill="1" applyBorder="1" applyAlignment="1" applyProtection="1">
      <alignment horizontal="left" vertical="center" wrapText="1"/>
      <protection locked="0"/>
    </xf>
    <xf numFmtId="168" fontId="49" fillId="3" borderId="20" xfId="0" applyNumberFormat="1" applyFont="1" applyFill="1" applyBorder="1" applyAlignment="1" applyProtection="1">
      <alignment horizontal="left" vertical="center" wrapText="1"/>
      <protection locked="0"/>
    </xf>
    <xf numFmtId="0" fontId="47" fillId="0" borderId="1" xfId="0" applyFont="1" applyBorder="1" applyAlignment="1" applyProtection="1">
      <alignment horizontal="left"/>
      <protection locked="0"/>
    </xf>
    <xf numFmtId="0" fontId="47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10" fontId="41" fillId="0" borderId="16" xfId="0" applyNumberFormat="1" applyFont="1" applyBorder="1" applyAlignment="1">
      <alignment horizontal="center" vertical="center" wrapText="1"/>
    </xf>
    <xf numFmtId="10" fontId="41" fillId="0" borderId="38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41" fillId="4" borderId="18" xfId="0" applyFont="1" applyFill="1" applyBorder="1" applyAlignment="1" applyProtection="1">
      <alignment horizontal="center" vertical="center" wrapText="1"/>
      <protection locked="0"/>
    </xf>
    <xf numFmtId="0" fontId="41" fillId="4" borderId="12" xfId="0" applyFont="1" applyFill="1" applyBorder="1" applyAlignment="1" applyProtection="1">
      <alignment horizontal="center" vertical="center" wrapText="1"/>
      <protection locked="0"/>
    </xf>
    <xf numFmtId="168" fontId="14" fillId="3" borderId="26" xfId="0" applyNumberFormat="1" applyFont="1" applyFill="1" applyBorder="1" applyAlignment="1" applyProtection="1">
      <alignment horizontal="center" vertical="center" wrapText="1"/>
      <protection locked="0"/>
    </xf>
    <xf numFmtId="168" fontId="14" fillId="3" borderId="24" xfId="0" applyNumberFormat="1" applyFont="1" applyFill="1" applyBorder="1" applyAlignment="1" applyProtection="1">
      <alignment horizontal="center" vertical="center" wrapText="1"/>
      <protection locked="0"/>
    </xf>
    <xf numFmtId="168" fontId="14" fillId="3" borderId="37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19" xfId="2" applyNumberFormat="1" applyFont="1" applyBorder="1" applyAlignment="1">
      <alignment horizontal="left" vertical="center"/>
    </xf>
    <xf numFmtId="0" fontId="23" fillId="0" borderId="15" xfId="2" applyNumberFormat="1" applyFont="1" applyBorder="1" applyAlignment="1">
      <alignment horizontal="left" vertical="center"/>
    </xf>
    <xf numFmtId="0" fontId="28" fillId="3" borderId="9" xfId="0" applyFont="1" applyFill="1" applyBorder="1" applyAlignment="1">
      <alignment horizontal="center"/>
    </xf>
    <xf numFmtId="0" fontId="28" fillId="3" borderId="20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</cellXfs>
  <cellStyles count="9">
    <cellStyle name="Hiperlink" xfId="1" builtinId="8"/>
    <cellStyle name="Moeda" xfId="2" builtinId="4"/>
    <cellStyle name="Normal" xfId="0" builtinId="0"/>
    <cellStyle name="Normal 2" xfId="4" xr:uid="{14121340-C388-43DB-BD51-B1E12D03B86D}"/>
    <cellStyle name="Normal 3" xfId="6" xr:uid="{13876DAE-63D6-41C6-889E-FC380A522BCD}"/>
    <cellStyle name="Normal 4" xfId="8" xr:uid="{A1B8E8B4-B115-4014-AF2E-7272B1211A63}"/>
    <cellStyle name="Porcentagem" xfId="7" builtinId="5"/>
    <cellStyle name="Vírgula" xfId="3" builtinId="3"/>
    <cellStyle name="Vírgula 2" xfId="5" xr:uid="{D161C7B6-8C6B-49F4-859C-3F605741478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1273628</xdr:colOff>
      <xdr:row>0</xdr:row>
      <xdr:rowOff>122156</xdr:rowOff>
    </xdr:from>
    <xdr:to>
      <xdr:col>10</xdr:col>
      <xdr:colOff>76200</xdr:colOff>
      <xdr:row>3</xdr:row>
      <xdr:rowOff>233995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8CA243D-D491-4903-9A10-86885C1EA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5178" y="122156"/>
          <a:ext cx="2460172" cy="135008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3009900</xdr:colOff>
          <xdr:row>7</xdr:row>
          <xdr:rowOff>742950</xdr:rowOff>
        </xdr:from>
        <xdr:to>
          <xdr:col>6</xdr:col>
          <xdr:colOff>4219575</xdr:colOff>
          <xdr:row>7</xdr:row>
          <xdr:rowOff>1209675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t-BR" sz="16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Preparar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1295400</xdr:colOff>
          <xdr:row>0</xdr:row>
          <xdr:rowOff>0</xdr:rowOff>
        </xdr:from>
        <xdr:to>
          <xdr:col>0</xdr:col>
          <xdr:colOff>1905000</xdr:colOff>
          <xdr:row>1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Enviar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38100</xdr:colOff>
          <xdr:row>0</xdr:row>
          <xdr:rowOff>19050</xdr:rowOff>
        </xdr:from>
        <xdr:to>
          <xdr:col>38</xdr:col>
          <xdr:colOff>19050</xdr:colOff>
          <xdr:row>1</xdr:row>
          <xdr:rowOff>47625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Enviar para Todos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5010150</xdr:colOff>
          <xdr:row>0</xdr:row>
          <xdr:rowOff>9525</xdr:rowOff>
        </xdr:from>
        <xdr:to>
          <xdr:col>10</xdr:col>
          <xdr:colOff>0</xdr:colOff>
          <xdr:row>0</xdr:row>
          <xdr:rowOff>581025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3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Exportar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9525</xdr:rowOff>
        </xdr:from>
        <xdr:to>
          <xdr:col>0</xdr:col>
          <xdr:colOff>619125</xdr:colOff>
          <xdr:row>0</xdr:row>
          <xdr:rowOff>190500</xdr:rowOff>
        </xdr:to>
        <xdr:sp macro="" textlink="">
          <xdr:nvSpPr>
            <xdr:cNvPr id="12305" name="Button 17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00000000-0008-0000-0400-00001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Exportar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0</xdr:row>
          <xdr:rowOff>171450</xdr:rowOff>
        </xdr:from>
        <xdr:to>
          <xdr:col>25</xdr:col>
          <xdr:colOff>104775</xdr:colOff>
          <xdr:row>2</xdr:row>
          <xdr:rowOff>28575</xdr:rowOff>
        </xdr:to>
        <xdr:sp macro="" textlink="">
          <xdr:nvSpPr>
            <xdr:cNvPr id="3077" name="Butto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Exportar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1071563</xdr:colOff>
      <xdr:row>0</xdr:row>
      <xdr:rowOff>160349</xdr:rowOff>
    </xdr:from>
    <xdr:to>
      <xdr:col>9</xdr:col>
      <xdr:colOff>892968</xdr:colOff>
      <xdr:row>4</xdr:row>
      <xdr:rowOff>120524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5F25A90-5F4B-44CC-B7CE-B0204402E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4157" y="160349"/>
          <a:ext cx="1797843" cy="9722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419100</xdr:colOff>
          <xdr:row>0</xdr:row>
          <xdr:rowOff>9525</xdr:rowOff>
        </xdr:from>
        <xdr:to>
          <xdr:col>0</xdr:col>
          <xdr:colOff>1038225</xdr:colOff>
          <xdr:row>1</xdr:row>
          <xdr:rowOff>0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8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Exportar</a:t>
              </a:r>
            </a:p>
          </xdr:txBody>
        </xdr:sp>
        <xdr:clientData fPrintsWithSheet="0"/>
      </xdr:twoCellAnchor>
    </mc:Choice>
    <mc:Fallback/>
  </mc:AlternateContent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9209F3-C3EF-4E7A-B492-FC7F1124DD1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f5985eb-d4aa-4f85-87a3-0dbafc50892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lucio.couto@c4capital.com.br" TargetMode="External"/><Relationship Id="rId21" Type="http://schemas.openxmlformats.org/officeDocument/2006/relationships/hyperlink" Target="mailto:lucio.couto@c4capital.com.br" TargetMode="External"/><Relationship Id="rId42" Type="http://schemas.openxmlformats.org/officeDocument/2006/relationships/hyperlink" Target="mailto:lucio.couto@c4capital.com.br" TargetMode="External"/><Relationship Id="rId47" Type="http://schemas.openxmlformats.org/officeDocument/2006/relationships/hyperlink" Target="mailto:lucio.couto@c4capital.com.br" TargetMode="External"/><Relationship Id="rId63" Type="http://schemas.openxmlformats.org/officeDocument/2006/relationships/hyperlink" Target="mailto:lucio.couto@c4capital.com.br" TargetMode="External"/><Relationship Id="rId68" Type="http://schemas.openxmlformats.org/officeDocument/2006/relationships/hyperlink" Target="mailto:lucio.couto@c4capital.com.br" TargetMode="External"/><Relationship Id="rId84" Type="http://schemas.openxmlformats.org/officeDocument/2006/relationships/hyperlink" Target="mailto:lucio.couto@c4capital.com.br" TargetMode="External"/><Relationship Id="rId89" Type="http://schemas.openxmlformats.org/officeDocument/2006/relationships/hyperlink" Target="mailto:lucio.couto@c4capital.com.br" TargetMode="External"/><Relationship Id="rId16" Type="http://schemas.openxmlformats.org/officeDocument/2006/relationships/hyperlink" Target="mailto:lucio.couto@c4capital.com.br" TargetMode="External"/><Relationship Id="rId11" Type="http://schemas.openxmlformats.org/officeDocument/2006/relationships/hyperlink" Target="mailto:lucio.couto@c4capital.com.br" TargetMode="External"/><Relationship Id="rId32" Type="http://schemas.openxmlformats.org/officeDocument/2006/relationships/hyperlink" Target="mailto:lucio.couto@c4capital.com.br" TargetMode="External"/><Relationship Id="rId37" Type="http://schemas.openxmlformats.org/officeDocument/2006/relationships/hyperlink" Target="mailto:lucio.couto@c4capital.com.br" TargetMode="External"/><Relationship Id="rId53" Type="http://schemas.openxmlformats.org/officeDocument/2006/relationships/hyperlink" Target="mailto:lucio.couto@c4capital.com.br" TargetMode="External"/><Relationship Id="rId58" Type="http://schemas.openxmlformats.org/officeDocument/2006/relationships/hyperlink" Target="mailto:lucio.couto@c4capital.com.br" TargetMode="External"/><Relationship Id="rId74" Type="http://schemas.openxmlformats.org/officeDocument/2006/relationships/hyperlink" Target="mailto:lucio.couto@c4capital.com.br" TargetMode="External"/><Relationship Id="rId79" Type="http://schemas.openxmlformats.org/officeDocument/2006/relationships/hyperlink" Target="mailto:lucio.couto@c4capital.com.br" TargetMode="External"/><Relationship Id="rId102" Type="http://schemas.openxmlformats.org/officeDocument/2006/relationships/vmlDrawing" Target="../drawings/vmlDrawing4.vml"/><Relationship Id="rId5" Type="http://schemas.openxmlformats.org/officeDocument/2006/relationships/hyperlink" Target="mailto:lucio.couto@c4capital.com.br" TargetMode="External"/><Relationship Id="rId90" Type="http://schemas.openxmlformats.org/officeDocument/2006/relationships/hyperlink" Target="mailto:lucio.couto@c4capital.com.br" TargetMode="External"/><Relationship Id="rId95" Type="http://schemas.openxmlformats.org/officeDocument/2006/relationships/hyperlink" Target="mailto:lucio.couto@c4capital.com.br" TargetMode="External"/><Relationship Id="rId22" Type="http://schemas.openxmlformats.org/officeDocument/2006/relationships/hyperlink" Target="mailto:lucio.couto@c4capital.com.br" TargetMode="External"/><Relationship Id="rId27" Type="http://schemas.openxmlformats.org/officeDocument/2006/relationships/hyperlink" Target="mailto:lucio.couto@c4capital.com.br" TargetMode="External"/><Relationship Id="rId43" Type="http://schemas.openxmlformats.org/officeDocument/2006/relationships/hyperlink" Target="mailto:lucio.couto@c4capital.com.br" TargetMode="External"/><Relationship Id="rId48" Type="http://schemas.openxmlformats.org/officeDocument/2006/relationships/hyperlink" Target="mailto:lucio.couto@c4capital.com.br" TargetMode="External"/><Relationship Id="rId64" Type="http://schemas.openxmlformats.org/officeDocument/2006/relationships/hyperlink" Target="mailto:lucio.couto@c4capital.com.br" TargetMode="External"/><Relationship Id="rId69" Type="http://schemas.openxmlformats.org/officeDocument/2006/relationships/hyperlink" Target="mailto:lucio.couto@c4capital.com.br" TargetMode="External"/><Relationship Id="rId80" Type="http://schemas.openxmlformats.org/officeDocument/2006/relationships/hyperlink" Target="mailto:lucio.couto@c4capital.com.br" TargetMode="External"/><Relationship Id="rId85" Type="http://schemas.openxmlformats.org/officeDocument/2006/relationships/hyperlink" Target="mailto:lucio.couto@c4capital.com.br" TargetMode="External"/><Relationship Id="rId12" Type="http://schemas.openxmlformats.org/officeDocument/2006/relationships/hyperlink" Target="mailto:lucio.couto@c4capital.com.br" TargetMode="External"/><Relationship Id="rId17" Type="http://schemas.openxmlformats.org/officeDocument/2006/relationships/hyperlink" Target="mailto:lucio.couto@c4capital.com.br" TargetMode="External"/><Relationship Id="rId25" Type="http://schemas.openxmlformats.org/officeDocument/2006/relationships/hyperlink" Target="mailto:lucio.couto@c4capital.com.br" TargetMode="External"/><Relationship Id="rId33" Type="http://schemas.openxmlformats.org/officeDocument/2006/relationships/hyperlink" Target="mailto:lucio.couto@c4capital.com.br" TargetMode="External"/><Relationship Id="rId38" Type="http://schemas.openxmlformats.org/officeDocument/2006/relationships/hyperlink" Target="mailto:lucio.couto@c4capital.com.br" TargetMode="External"/><Relationship Id="rId46" Type="http://schemas.openxmlformats.org/officeDocument/2006/relationships/hyperlink" Target="mailto:lucio.couto@c4capital.com.br" TargetMode="External"/><Relationship Id="rId59" Type="http://schemas.openxmlformats.org/officeDocument/2006/relationships/hyperlink" Target="mailto:lucio.couto@c4capital.com.br" TargetMode="External"/><Relationship Id="rId67" Type="http://schemas.openxmlformats.org/officeDocument/2006/relationships/hyperlink" Target="mailto:lucio.couto@c4capital.com.br" TargetMode="External"/><Relationship Id="rId103" Type="http://schemas.openxmlformats.org/officeDocument/2006/relationships/ctrlProp" Target="../ctrlProps/ctrlProp5.xml"/><Relationship Id="rId20" Type="http://schemas.openxmlformats.org/officeDocument/2006/relationships/hyperlink" Target="mailto:lucio.couto@c4capital.com.br" TargetMode="External"/><Relationship Id="rId41" Type="http://schemas.openxmlformats.org/officeDocument/2006/relationships/hyperlink" Target="mailto:lucio.couto@c4capital.com.br" TargetMode="External"/><Relationship Id="rId54" Type="http://schemas.openxmlformats.org/officeDocument/2006/relationships/hyperlink" Target="mailto:lucio.couto@c4capital.com.br" TargetMode="External"/><Relationship Id="rId62" Type="http://schemas.openxmlformats.org/officeDocument/2006/relationships/hyperlink" Target="mailto:lucio.couto@c4capital.com.br" TargetMode="External"/><Relationship Id="rId70" Type="http://schemas.openxmlformats.org/officeDocument/2006/relationships/hyperlink" Target="mailto:lucio.couto@c4capital.com.br" TargetMode="External"/><Relationship Id="rId75" Type="http://schemas.openxmlformats.org/officeDocument/2006/relationships/hyperlink" Target="mailto:lucio.couto@c4capital.com.br" TargetMode="External"/><Relationship Id="rId83" Type="http://schemas.openxmlformats.org/officeDocument/2006/relationships/hyperlink" Target="mailto:lucio.couto@c4capital.com.br" TargetMode="External"/><Relationship Id="rId88" Type="http://schemas.openxmlformats.org/officeDocument/2006/relationships/hyperlink" Target="mailto:lucio.couto@c4capital.com.br" TargetMode="External"/><Relationship Id="rId91" Type="http://schemas.openxmlformats.org/officeDocument/2006/relationships/hyperlink" Target="mailto:lucio.couto@c4capital.com.br" TargetMode="External"/><Relationship Id="rId96" Type="http://schemas.openxmlformats.org/officeDocument/2006/relationships/hyperlink" Target="mailto:lucio.couto@c4capital.com.br" TargetMode="External"/><Relationship Id="rId1" Type="http://schemas.openxmlformats.org/officeDocument/2006/relationships/hyperlink" Target="mailto:lucio.couto@c4capital.com.br" TargetMode="External"/><Relationship Id="rId6" Type="http://schemas.openxmlformats.org/officeDocument/2006/relationships/hyperlink" Target="mailto:lucio.couto@c4capital.com.br" TargetMode="External"/><Relationship Id="rId15" Type="http://schemas.openxmlformats.org/officeDocument/2006/relationships/hyperlink" Target="mailto:lucio.couto@c4capital.com.br" TargetMode="External"/><Relationship Id="rId23" Type="http://schemas.openxmlformats.org/officeDocument/2006/relationships/hyperlink" Target="mailto:lucio.couto@c4capital.com.br" TargetMode="External"/><Relationship Id="rId28" Type="http://schemas.openxmlformats.org/officeDocument/2006/relationships/hyperlink" Target="mailto:lucio.couto@c4capital.com.br" TargetMode="External"/><Relationship Id="rId36" Type="http://schemas.openxmlformats.org/officeDocument/2006/relationships/hyperlink" Target="mailto:lucio.couto@c4capital.com.br" TargetMode="External"/><Relationship Id="rId49" Type="http://schemas.openxmlformats.org/officeDocument/2006/relationships/hyperlink" Target="mailto:lucio.couto@c4capital.com.br" TargetMode="External"/><Relationship Id="rId57" Type="http://schemas.openxmlformats.org/officeDocument/2006/relationships/hyperlink" Target="mailto:lucio.couto@c4capital.com.br" TargetMode="External"/><Relationship Id="rId10" Type="http://schemas.openxmlformats.org/officeDocument/2006/relationships/hyperlink" Target="mailto:lucio.couto@c4capital.com.br" TargetMode="External"/><Relationship Id="rId31" Type="http://schemas.openxmlformats.org/officeDocument/2006/relationships/hyperlink" Target="mailto:lucio.couto@c4capital.com.br" TargetMode="External"/><Relationship Id="rId44" Type="http://schemas.openxmlformats.org/officeDocument/2006/relationships/hyperlink" Target="mailto:lucio.couto@c4capital.com.br" TargetMode="External"/><Relationship Id="rId52" Type="http://schemas.openxmlformats.org/officeDocument/2006/relationships/hyperlink" Target="mailto:lucio.couto@c4capital.com.br" TargetMode="External"/><Relationship Id="rId60" Type="http://schemas.openxmlformats.org/officeDocument/2006/relationships/hyperlink" Target="mailto:lucio.couto@c4capital.com.br" TargetMode="External"/><Relationship Id="rId65" Type="http://schemas.openxmlformats.org/officeDocument/2006/relationships/hyperlink" Target="mailto:lucio.couto@c4capital.com.br" TargetMode="External"/><Relationship Id="rId73" Type="http://schemas.openxmlformats.org/officeDocument/2006/relationships/hyperlink" Target="mailto:lucio.couto@c4capital.com.br" TargetMode="External"/><Relationship Id="rId78" Type="http://schemas.openxmlformats.org/officeDocument/2006/relationships/hyperlink" Target="mailto:lucio.couto@c4capital.com.br" TargetMode="External"/><Relationship Id="rId81" Type="http://schemas.openxmlformats.org/officeDocument/2006/relationships/hyperlink" Target="mailto:lucio.couto@c4capital.com.br" TargetMode="External"/><Relationship Id="rId86" Type="http://schemas.openxmlformats.org/officeDocument/2006/relationships/hyperlink" Target="mailto:lucio.couto@c4capital.com.br" TargetMode="External"/><Relationship Id="rId94" Type="http://schemas.openxmlformats.org/officeDocument/2006/relationships/hyperlink" Target="mailto:lucio.couto@c4capital.com.br" TargetMode="External"/><Relationship Id="rId99" Type="http://schemas.openxmlformats.org/officeDocument/2006/relationships/hyperlink" Target="mailto:lucio.couto@c4capital.com.br" TargetMode="External"/><Relationship Id="rId101" Type="http://schemas.openxmlformats.org/officeDocument/2006/relationships/drawing" Target="../drawings/drawing4.xml"/><Relationship Id="rId4" Type="http://schemas.openxmlformats.org/officeDocument/2006/relationships/hyperlink" Target="mailto:lucio.couto@c4capital.com.br" TargetMode="External"/><Relationship Id="rId9" Type="http://schemas.openxmlformats.org/officeDocument/2006/relationships/hyperlink" Target="mailto:lucio.couto@c4capital.com.br" TargetMode="External"/><Relationship Id="rId13" Type="http://schemas.openxmlformats.org/officeDocument/2006/relationships/hyperlink" Target="mailto:lucio.couto@c4capital.com.br" TargetMode="External"/><Relationship Id="rId18" Type="http://schemas.openxmlformats.org/officeDocument/2006/relationships/hyperlink" Target="mailto:lucio.couto@c4capital.com.br" TargetMode="External"/><Relationship Id="rId39" Type="http://schemas.openxmlformats.org/officeDocument/2006/relationships/hyperlink" Target="mailto:lucio.couto@c4capital.com.br" TargetMode="External"/><Relationship Id="rId34" Type="http://schemas.openxmlformats.org/officeDocument/2006/relationships/hyperlink" Target="mailto:lucio.couto@c4capital.com.br" TargetMode="External"/><Relationship Id="rId50" Type="http://schemas.openxmlformats.org/officeDocument/2006/relationships/hyperlink" Target="mailto:lucio.couto@c4capital.com.br" TargetMode="External"/><Relationship Id="rId55" Type="http://schemas.openxmlformats.org/officeDocument/2006/relationships/hyperlink" Target="mailto:lucio.couto@c4capital.com.br" TargetMode="External"/><Relationship Id="rId76" Type="http://schemas.openxmlformats.org/officeDocument/2006/relationships/hyperlink" Target="mailto:lucio.couto@c4capital.com.br" TargetMode="External"/><Relationship Id="rId97" Type="http://schemas.openxmlformats.org/officeDocument/2006/relationships/hyperlink" Target="mailto:lucio.couto@c4capital.com.br" TargetMode="External"/><Relationship Id="rId104" Type="http://schemas.openxmlformats.org/officeDocument/2006/relationships/comments" Target="../comments1.xml"/><Relationship Id="rId7" Type="http://schemas.openxmlformats.org/officeDocument/2006/relationships/hyperlink" Target="mailto:lucio.couto@c4capital.com.br" TargetMode="External"/><Relationship Id="rId71" Type="http://schemas.openxmlformats.org/officeDocument/2006/relationships/hyperlink" Target="mailto:lucio.couto@c4capital.com.br" TargetMode="External"/><Relationship Id="rId92" Type="http://schemas.openxmlformats.org/officeDocument/2006/relationships/hyperlink" Target="mailto:lucio.couto@c4capital.com.br" TargetMode="External"/><Relationship Id="rId2" Type="http://schemas.openxmlformats.org/officeDocument/2006/relationships/hyperlink" Target="mailto:lucio.couto@c4capital.com.br" TargetMode="External"/><Relationship Id="rId29" Type="http://schemas.openxmlformats.org/officeDocument/2006/relationships/hyperlink" Target="mailto:lucio.couto@c4capital.com.br" TargetMode="External"/><Relationship Id="rId24" Type="http://schemas.openxmlformats.org/officeDocument/2006/relationships/hyperlink" Target="mailto:lucio.couto@c4capital.com.br" TargetMode="External"/><Relationship Id="rId40" Type="http://schemas.openxmlformats.org/officeDocument/2006/relationships/hyperlink" Target="mailto:lucio.couto@c4capital.com.br" TargetMode="External"/><Relationship Id="rId45" Type="http://schemas.openxmlformats.org/officeDocument/2006/relationships/hyperlink" Target="mailto:lucio.couto@c4capital.com.br" TargetMode="External"/><Relationship Id="rId66" Type="http://schemas.openxmlformats.org/officeDocument/2006/relationships/hyperlink" Target="mailto:lucio.couto@c4capital.com.br" TargetMode="External"/><Relationship Id="rId87" Type="http://schemas.openxmlformats.org/officeDocument/2006/relationships/hyperlink" Target="mailto:lucio.couto@c4capital.com.br" TargetMode="External"/><Relationship Id="rId61" Type="http://schemas.openxmlformats.org/officeDocument/2006/relationships/hyperlink" Target="mailto:lucio.couto@c4capital.com.br" TargetMode="External"/><Relationship Id="rId82" Type="http://schemas.openxmlformats.org/officeDocument/2006/relationships/hyperlink" Target="mailto:lucio.couto@c4capital.com.br" TargetMode="External"/><Relationship Id="rId19" Type="http://schemas.openxmlformats.org/officeDocument/2006/relationships/hyperlink" Target="mailto:lucio.couto@c4capital.com.br" TargetMode="External"/><Relationship Id="rId14" Type="http://schemas.openxmlformats.org/officeDocument/2006/relationships/hyperlink" Target="mailto:lucio.couto@c4capital.com.br" TargetMode="External"/><Relationship Id="rId30" Type="http://schemas.openxmlformats.org/officeDocument/2006/relationships/hyperlink" Target="mailto:lucio.couto@c4capital.com.br" TargetMode="External"/><Relationship Id="rId35" Type="http://schemas.openxmlformats.org/officeDocument/2006/relationships/hyperlink" Target="mailto:lucio.couto@c4capital.com.br" TargetMode="External"/><Relationship Id="rId56" Type="http://schemas.openxmlformats.org/officeDocument/2006/relationships/hyperlink" Target="mailto:lucio.couto@c4capital.com.br" TargetMode="External"/><Relationship Id="rId77" Type="http://schemas.openxmlformats.org/officeDocument/2006/relationships/hyperlink" Target="mailto:lucio.couto@c4capital.com.br" TargetMode="External"/><Relationship Id="rId100" Type="http://schemas.openxmlformats.org/officeDocument/2006/relationships/hyperlink" Target="mailto:lucio.couto@c4capital.com.br" TargetMode="External"/><Relationship Id="rId8" Type="http://schemas.openxmlformats.org/officeDocument/2006/relationships/hyperlink" Target="mailto:lucio.couto@c4capital.com.br" TargetMode="External"/><Relationship Id="rId51" Type="http://schemas.openxmlformats.org/officeDocument/2006/relationships/hyperlink" Target="mailto:lucio.couto@c4capital.com.br" TargetMode="External"/><Relationship Id="rId72" Type="http://schemas.openxmlformats.org/officeDocument/2006/relationships/hyperlink" Target="mailto:lucio.couto@c4capital.com.br" TargetMode="External"/><Relationship Id="rId93" Type="http://schemas.openxmlformats.org/officeDocument/2006/relationships/hyperlink" Target="mailto:lucio.couto@c4capital.com.br" TargetMode="External"/><Relationship Id="rId98" Type="http://schemas.openxmlformats.org/officeDocument/2006/relationships/hyperlink" Target="mailto:lucio.couto@c4capital.com.br" TargetMode="External"/><Relationship Id="rId3" Type="http://schemas.openxmlformats.org/officeDocument/2006/relationships/hyperlink" Target="mailto:lucio.couto@c4capital.com.b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AB111"/>
  <sheetViews>
    <sheetView showGridLines="0" tabSelected="1" topLeftCell="B1" zoomScale="50" zoomScaleNormal="50" workbookViewId="0">
      <selection activeCell="AA8" sqref="AA8"/>
    </sheetView>
  </sheetViews>
  <sheetFormatPr defaultColWidth="9.140625" defaultRowHeight="14.25" customHeight="1"/>
  <cols>
    <col min="1" max="1" width="12" style="2" customWidth="1"/>
    <col min="2" max="2" width="31.140625" style="10" customWidth="1"/>
    <col min="3" max="3" width="72" style="1" customWidth="1"/>
    <col min="4" max="4" width="20.140625" style="1" customWidth="1"/>
    <col min="5" max="5" width="21.42578125" style="1" customWidth="1"/>
    <col min="6" max="6" width="25.5703125" style="1" customWidth="1"/>
    <col min="7" max="7" width="63.42578125" style="1" customWidth="1"/>
    <col min="8" max="8" width="28.7109375" style="1" customWidth="1"/>
    <col min="9" max="9" width="25.28515625" style="1" customWidth="1"/>
    <col min="10" max="10" width="54.85546875" style="1" customWidth="1"/>
    <col min="11" max="11" width="19.140625" style="1" customWidth="1"/>
    <col min="12" max="14" width="9.140625" style="1" hidden="1" customWidth="1"/>
    <col min="15" max="15" width="33.140625" style="1" hidden="1" customWidth="1"/>
    <col min="16" max="16" width="16.42578125" style="1" hidden="1" customWidth="1"/>
    <col min="17" max="17" width="9.140625" style="1" hidden="1" customWidth="1"/>
    <col min="18" max="18" width="35.5703125" style="1" hidden="1" customWidth="1"/>
    <col min="19" max="19" width="16.7109375" style="1" hidden="1" customWidth="1"/>
    <col min="20" max="21" width="21.140625" style="1" hidden="1" customWidth="1"/>
    <col min="22" max="22" width="21.140625" style="1" bestFit="1" customWidth="1"/>
    <col min="23" max="23" width="9.140625" style="1"/>
    <col min="24" max="24" width="16.7109375" style="1" bestFit="1" customWidth="1"/>
    <col min="25" max="28" width="25.28515625" style="1" bestFit="1" customWidth="1"/>
    <col min="29" max="16384" width="9.140625" style="1"/>
  </cols>
  <sheetData>
    <row r="1" spans="1:28" ht="19.5" customHeight="1">
      <c r="A1" s="203" t="s">
        <v>19</v>
      </c>
      <c r="B1" s="204"/>
      <c r="C1" s="204"/>
      <c r="D1" s="204"/>
      <c r="E1" s="204"/>
      <c r="F1" s="204"/>
      <c r="G1" s="197" t="s">
        <v>119</v>
      </c>
      <c r="H1" s="199">
        <f ca="1">TODAY()</f>
        <v>46199</v>
      </c>
      <c r="I1" s="200"/>
      <c r="J1" s="191"/>
      <c r="K1" s="192"/>
      <c r="T1" s="176" t="s">
        <v>271</v>
      </c>
      <c r="U1" s="177" t="s">
        <v>280</v>
      </c>
    </row>
    <row r="2" spans="1:28" ht="35.25" customHeight="1" thickBot="1">
      <c r="A2" s="205"/>
      <c r="B2" s="206"/>
      <c r="C2" s="206"/>
      <c r="D2" s="206"/>
      <c r="E2" s="206"/>
      <c r="F2" s="206"/>
      <c r="G2" s="198"/>
      <c r="H2" s="201"/>
      <c r="I2" s="202"/>
      <c r="J2" s="193"/>
      <c r="K2" s="194"/>
    </row>
    <row r="3" spans="1:28" s="5" customFormat="1" ht="41.25" customHeight="1">
      <c r="A3" s="187" t="s">
        <v>97</v>
      </c>
      <c r="B3" s="188"/>
      <c r="C3" s="172">
        <v>35071253000130</v>
      </c>
      <c r="D3" s="38" t="s">
        <v>99</v>
      </c>
      <c r="E3" s="175" t="s">
        <v>141</v>
      </c>
      <c r="F3" s="38" t="s">
        <v>100</v>
      </c>
      <c r="G3" s="174" t="s">
        <v>91</v>
      </c>
      <c r="H3" s="38" t="s">
        <v>120</v>
      </c>
      <c r="I3" s="78">
        <v>2703</v>
      </c>
      <c r="J3" s="193"/>
      <c r="K3" s="194"/>
      <c r="O3" s="97"/>
      <c r="P3" s="11" t="s">
        <v>91</v>
      </c>
      <c r="R3" s="11" t="s">
        <v>96</v>
      </c>
      <c r="S3" s="5" t="s">
        <v>142</v>
      </c>
    </row>
    <row r="4" spans="1:28" s="5" customFormat="1" ht="39" customHeight="1" thickBot="1">
      <c r="A4" s="185" t="s">
        <v>98</v>
      </c>
      <c r="B4" s="186"/>
      <c r="C4" s="211" t="s">
        <v>274</v>
      </c>
      <c r="D4" s="212"/>
      <c r="E4" s="212"/>
      <c r="F4" s="212"/>
      <c r="G4" s="213"/>
      <c r="H4" s="86" t="s">
        <v>139</v>
      </c>
      <c r="I4" s="92"/>
      <c r="J4" s="195"/>
      <c r="K4" s="196"/>
      <c r="P4" s="11" t="s">
        <v>92</v>
      </c>
      <c r="R4" s="6" t="s">
        <v>269</v>
      </c>
      <c r="S4" s="5" t="s">
        <v>143</v>
      </c>
    </row>
    <row r="5" spans="1:28" s="5" customFormat="1" ht="40.5" customHeight="1" thickBot="1">
      <c r="A5" s="183" t="s">
        <v>89</v>
      </c>
      <c r="B5" s="184"/>
      <c r="C5" s="173" t="s">
        <v>186</v>
      </c>
      <c r="D5" s="207"/>
      <c r="E5" s="207"/>
      <c r="F5" s="207"/>
      <c r="G5" s="208"/>
      <c r="H5" s="85" t="s">
        <v>180</v>
      </c>
      <c r="I5" s="150" t="s">
        <v>142</v>
      </c>
      <c r="J5" s="152" t="s">
        <v>184</v>
      </c>
      <c r="K5" s="171"/>
      <c r="R5" s="5" t="s">
        <v>265</v>
      </c>
      <c r="S5" s="5" t="s">
        <v>272</v>
      </c>
    </row>
    <row r="6" spans="1:28" s="5" customFormat="1" ht="36" customHeight="1" thickBot="1">
      <c r="A6" s="189" t="s">
        <v>121</v>
      </c>
      <c r="B6" s="190"/>
      <c r="C6" s="88">
        <f>SUM(I9:I108)</f>
        <v>50000</v>
      </c>
      <c r="D6" s="209"/>
      <c r="E6" s="209"/>
      <c r="F6" s="209"/>
      <c r="G6" s="210"/>
      <c r="H6" s="149" t="s">
        <v>149</v>
      </c>
      <c r="I6" s="151">
        <f>Tarifaço!G8</f>
        <v>3.8E-3</v>
      </c>
      <c r="J6" s="152" t="s">
        <v>182</v>
      </c>
      <c r="K6" s="171"/>
      <c r="P6" s="6" t="s">
        <v>140</v>
      </c>
      <c r="R6" s="6" t="s">
        <v>266</v>
      </c>
      <c r="S6" s="5" t="s">
        <v>273</v>
      </c>
    </row>
    <row r="7" spans="1:28" ht="28.5" customHeight="1" thickBot="1">
      <c r="A7" s="180"/>
      <c r="B7" s="181"/>
      <c r="C7" s="181"/>
      <c r="D7" s="181"/>
      <c r="E7" s="181"/>
      <c r="F7" s="181"/>
      <c r="G7" s="181"/>
      <c r="H7" s="181"/>
      <c r="I7" s="181"/>
      <c r="J7" s="181"/>
      <c r="K7" s="182"/>
      <c r="P7" s="6" t="s">
        <v>141</v>
      </c>
      <c r="R7" s="5" t="s">
        <v>186</v>
      </c>
      <c r="Y7" s="5"/>
      <c r="Z7" s="5"/>
      <c r="AA7" s="5"/>
      <c r="AB7" s="5"/>
    </row>
    <row r="8" spans="1:28" s="6" customFormat="1" ht="99" customHeight="1" thickBot="1">
      <c r="A8" s="14" t="s">
        <v>0</v>
      </c>
      <c r="B8" s="94" t="s">
        <v>130</v>
      </c>
      <c r="C8" s="93" t="s">
        <v>84</v>
      </c>
      <c r="D8" s="93" t="s">
        <v>128</v>
      </c>
      <c r="E8" s="93" t="s">
        <v>127</v>
      </c>
      <c r="F8" s="93" t="s">
        <v>129</v>
      </c>
      <c r="G8" s="93" t="s">
        <v>1</v>
      </c>
      <c r="H8" s="93" t="s">
        <v>181</v>
      </c>
      <c r="I8" s="93" t="s">
        <v>2</v>
      </c>
      <c r="J8" s="93" t="s">
        <v>18</v>
      </c>
      <c r="K8" s="95" t="s">
        <v>90</v>
      </c>
      <c r="O8" s="98"/>
      <c r="R8" s="6" t="s">
        <v>267</v>
      </c>
      <c r="Y8" s="5"/>
      <c r="Z8" s="5"/>
      <c r="AA8" s="5"/>
      <c r="AB8" s="5"/>
    </row>
    <row r="9" spans="1:28" s="6" customFormat="1" ht="38.25" customHeight="1">
      <c r="A9" s="15" t="s">
        <v>3</v>
      </c>
      <c r="B9" s="153" t="s">
        <v>275</v>
      </c>
      <c r="C9" s="154" t="s">
        <v>276</v>
      </c>
      <c r="D9" s="155" t="s">
        <v>277</v>
      </c>
      <c r="E9" s="156" t="s">
        <v>278</v>
      </c>
      <c r="F9" s="156" t="s">
        <v>279</v>
      </c>
      <c r="G9" s="157"/>
      <c r="H9" s="158"/>
      <c r="I9" s="159">
        <v>50000</v>
      </c>
      <c r="J9" s="160"/>
      <c r="K9" s="161">
        <v>65285000</v>
      </c>
      <c r="O9" s="98" t="s">
        <v>172</v>
      </c>
      <c r="R9" s="5" t="s">
        <v>185</v>
      </c>
      <c r="Y9" s="5"/>
      <c r="Z9" s="5"/>
      <c r="AA9" s="5"/>
      <c r="AB9" s="5"/>
    </row>
    <row r="10" spans="1:28" s="6" customFormat="1" ht="38.25" customHeight="1">
      <c r="A10" s="15" t="s">
        <v>4</v>
      </c>
      <c r="B10" s="162"/>
      <c r="C10" s="103"/>
      <c r="D10" s="101"/>
      <c r="E10" s="105"/>
      <c r="F10" s="105"/>
      <c r="G10" s="163"/>
      <c r="H10" s="107"/>
      <c r="I10" s="104"/>
      <c r="J10" s="102"/>
      <c r="K10" s="164"/>
      <c r="O10" s="98" t="s">
        <v>172</v>
      </c>
      <c r="R10" s="6" t="s">
        <v>258</v>
      </c>
    </row>
    <row r="11" spans="1:28" s="6" customFormat="1" ht="38.25" customHeight="1">
      <c r="A11" s="15" t="s">
        <v>5</v>
      </c>
      <c r="B11" s="165"/>
      <c r="C11" s="103"/>
      <c r="D11" s="101"/>
      <c r="E11" s="105"/>
      <c r="F11" s="105"/>
      <c r="G11" s="163"/>
      <c r="H11" s="166"/>
      <c r="I11" s="104"/>
      <c r="J11" s="102"/>
      <c r="K11" s="167"/>
      <c r="O11" s="98" t="s">
        <v>172</v>
      </c>
      <c r="R11" s="6" t="s">
        <v>270</v>
      </c>
    </row>
    <row r="12" spans="1:28" s="6" customFormat="1" ht="38.25" customHeight="1">
      <c r="A12" s="15" t="s">
        <v>6</v>
      </c>
      <c r="B12" s="162"/>
      <c r="C12" s="103"/>
      <c r="D12" s="101"/>
      <c r="E12" s="105"/>
      <c r="F12" s="105"/>
      <c r="G12" s="163"/>
      <c r="H12" s="107"/>
      <c r="I12" s="104"/>
      <c r="J12" s="102"/>
      <c r="K12" s="164"/>
      <c r="L12" s="6" t="s">
        <v>254</v>
      </c>
      <c r="M12" s="6" t="s">
        <v>255</v>
      </c>
      <c r="N12" s="6" t="s">
        <v>256</v>
      </c>
      <c r="O12" s="6" t="s">
        <v>257</v>
      </c>
      <c r="R12" s="6" t="s">
        <v>187</v>
      </c>
      <c r="X12" s="96"/>
    </row>
    <row r="13" spans="1:28" s="6" customFormat="1" ht="38.25" customHeight="1">
      <c r="A13" s="15" t="s">
        <v>7</v>
      </c>
      <c r="B13" s="112"/>
      <c r="C13" s="103"/>
      <c r="D13" s="101"/>
      <c r="E13" s="105"/>
      <c r="F13" s="105"/>
      <c r="G13" s="163"/>
      <c r="H13" s="168"/>
      <c r="I13" s="104"/>
      <c r="J13" s="102"/>
      <c r="K13" s="167"/>
      <c r="L13" s="6" t="s">
        <v>254</v>
      </c>
      <c r="M13" s="6" t="s">
        <v>255</v>
      </c>
      <c r="N13" s="6" t="s">
        <v>256</v>
      </c>
      <c r="O13" s="6" t="s">
        <v>257</v>
      </c>
    </row>
    <row r="14" spans="1:28" s="6" customFormat="1" ht="38.25" customHeight="1">
      <c r="A14" s="15" t="s">
        <v>8</v>
      </c>
      <c r="B14" s="112"/>
      <c r="C14" s="103"/>
      <c r="D14" s="101"/>
      <c r="E14" s="105"/>
      <c r="F14" s="105"/>
      <c r="G14" s="169"/>
      <c r="H14" s="168"/>
      <c r="I14" s="104"/>
      <c r="J14" s="102"/>
      <c r="K14" s="167"/>
      <c r="L14" s="6" t="s">
        <v>254</v>
      </c>
      <c r="M14" s="6" t="s">
        <v>255</v>
      </c>
      <c r="N14" s="6" t="s">
        <v>256</v>
      </c>
      <c r="O14" s="6" t="s">
        <v>257</v>
      </c>
    </row>
    <row r="15" spans="1:28" s="6" customFormat="1" ht="38.25" customHeight="1">
      <c r="A15" s="15" t="s">
        <v>9</v>
      </c>
      <c r="B15" s="112"/>
      <c r="C15" s="103"/>
      <c r="D15" s="101"/>
      <c r="E15" s="105"/>
      <c r="F15" s="105"/>
      <c r="G15" s="169"/>
      <c r="H15" s="168"/>
      <c r="I15" s="104"/>
      <c r="J15" s="102"/>
      <c r="K15" s="167"/>
      <c r="L15" s="6" t="s">
        <v>254</v>
      </c>
      <c r="M15" s="6" t="s">
        <v>255</v>
      </c>
      <c r="N15" s="6" t="s">
        <v>256</v>
      </c>
      <c r="O15" s="6" t="s">
        <v>257</v>
      </c>
    </row>
    <row r="16" spans="1:28" s="6" customFormat="1" ht="38.25" customHeight="1">
      <c r="A16" s="15" t="s">
        <v>10</v>
      </c>
      <c r="B16" s="112"/>
      <c r="C16" s="103"/>
      <c r="D16" s="101"/>
      <c r="E16" s="105"/>
      <c r="F16" s="105"/>
      <c r="G16" s="169"/>
      <c r="H16" s="168"/>
      <c r="I16" s="104"/>
      <c r="J16" s="102"/>
      <c r="K16" s="167"/>
      <c r="L16" s="6" t="s">
        <v>254</v>
      </c>
      <c r="M16" s="6" t="s">
        <v>255</v>
      </c>
      <c r="N16" s="6" t="s">
        <v>256</v>
      </c>
      <c r="O16" s="6" t="s">
        <v>257</v>
      </c>
    </row>
    <row r="17" spans="1:15" s="6" customFormat="1" ht="38.25" customHeight="1">
      <c r="A17" s="15" t="s">
        <v>11</v>
      </c>
      <c r="B17" s="112"/>
      <c r="C17" s="103"/>
      <c r="D17" s="101"/>
      <c r="E17" s="105"/>
      <c r="F17" s="105"/>
      <c r="G17" s="133"/>
      <c r="H17" s="107"/>
      <c r="I17" s="104"/>
      <c r="J17" s="102"/>
      <c r="K17" s="108"/>
      <c r="L17" s="6" t="s">
        <v>254</v>
      </c>
      <c r="M17" s="6" t="s">
        <v>255</v>
      </c>
      <c r="N17" s="6" t="s">
        <v>256</v>
      </c>
      <c r="O17" s="6" t="s">
        <v>257</v>
      </c>
    </row>
    <row r="18" spans="1:15" s="6" customFormat="1" ht="38.25" customHeight="1">
      <c r="A18" s="15" t="s">
        <v>12</v>
      </c>
      <c r="B18" s="112"/>
      <c r="C18" s="103"/>
      <c r="D18" s="101"/>
      <c r="E18" s="105"/>
      <c r="F18" s="105"/>
      <c r="G18" s="133"/>
      <c r="H18" s="107"/>
      <c r="I18" s="104"/>
      <c r="J18" s="102"/>
      <c r="K18" s="108"/>
      <c r="L18" s="6" t="s">
        <v>254</v>
      </c>
      <c r="M18" s="6" t="s">
        <v>255</v>
      </c>
      <c r="N18" s="6" t="s">
        <v>256</v>
      </c>
      <c r="O18" s="6" t="s">
        <v>257</v>
      </c>
    </row>
    <row r="19" spans="1:15" s="6" customFormat="1" ht="38.25" customHeight="1">
      <c r="A19" s="15" t="s">
        <v>13</v>
      </c>
      <c r="B19" s="112"/>
      <c r="C19" s="103"/>
      <c r="D19" s="101"/>
      <c r="E19" s="105"/>
      <c r="F19" s="105"/>
      <c r="G19" s="133"/>
      <c r="H19" s="107"/>
      <c r="I19" s="104"/>
      <c r="J19" s="102"/>
      <c r="K19" s="108"/>
      <c r="L19" s="6" t="s">
        <v>254</v>
      </c>
      <c r="M19" s="6" t="s">
        <v>255</v>
      </c>
      <c r="N19" s="6" t="s">
        <v>256</v>
      </c>
      <c r="O19" s="6" t="s">
        <v>257</v>
      </c>
    </row>
    <row r="20" spans="1:15" s="6" customFormat="1" ht="38.25" customHeight="1">
      <c r="A20" s="15" t="s">
        <v>14</v>
      </c>
      <c r="B20" s="112"/>
      <c r="C20" s="103"/>
      <c r="D20" s="101"/>
      <c r="E20" s="105"/>
      <c r="F20" s="105"/>
      <c r="G20" s="133"/>
      <c r="H20" s="107"/>
      <c r="I20" s="104"/>
      <c r="J20" s="102"/>
      <c r="K20" s="108"/>
      <c r="L20" s="6" t="s">
        <v>254</v>
      </c>
      <c r="M20" s="6" t="s">
        <v>255</v>
      </c>
      <c r="N20" s="6" t="s">
        <v>256</v>
      </c>
      <c r="O20" s="6" t="s">
        <v>257</v>
      </c>
    </row>
    <row r="21" spans="1:15" s="6" customFormat="1" ht="38.25" customHeight="1">
      <c r="A21" s="15" t="s">
        <v>15</v>
      </c>
      <c r="B21" s="112"/>
      <c r="C21" s="103"/>
      <c r="D21" s="101"/>
      <c r="E21" s="105"/>
      <c r="F21" s="105"/>
      <c r="G21" s="133"/>
      <c r="H21" s="107"/>
      <c r="I21" s="104"/>
      <c r="J21" s="102"/>
      <c r="K21" s="108"/>
      <c r="L21" s="6" t="s">
        <v>254</v>
      </c>
      <c r="M21" s="6" t="s">
        <v>255</v>
      </c>
      <c r="N21" s="6" t="s">
        <v>256</v>
      </c>
      <c r="O21" s="6" t="s">
        <v>257</v>
      </c>
    </row>
    <row r="22" spans="1:15" s="6" customFormat="1" ht="38.25" customHeight="1">
      <c r="A22" s="15" t="s">
        <v>16</v>
      </c>
      <c r="B22" s="112"/>
      <c r="C22" s="103"/>
      <c r="D22" s="101"/>
      <c r="E22" s="105"/>
      <c r="F22" s="105"/>
      <c r="G22" s="133"/>
      <c r="H22" s="107"/>
      <c r="I22" s="104"/>
      <c r="J22" s="102"/>
      <c r="K22" s="108"/>
      <c r="L22" s="6" t="s">
        <v>254</v>
      </c>
      <c r="M22" s="6" t="s">
        <v>255</v>
      </c>
      <c r="N22" s="6" t="s">
        <v>256</v>
      </c>
      <c r="O22" s="6" t="s">
        <v>257</v>
      </c>
    </row>
    <row r="23" spans="1:15" s="6" customFormat="1" ht="38.25" customHeight="1">
      <c r="A23" s="15" t="s">
        <v>17</v>
      </c>
      <c r="B23" s="112"/>
      <c r="C23" s="103"/>
      <c r="D23" s="101"/>
      <c r="E23" s="105"/>
      <c r="F23" s="105"/>
      <c r="G23" s="133"/>
      <c r="H23" s="107"/>
      <c r="I23" s="104"/>
      <c r="J23" s="102"/>
      <c r="K23" s="108"/>
      <c r="L23" s="6" t="s">
        <v>254</v>
      </c>
      <c r="M23" s="6" t="s">
        <v>255</v>
      </c>
      <c r="N23" s="6" t="s">
        <v>256</v>
      </c>
      <c r="O23" s="6" t="s">
        <v>257</v>
      </c>
    </row>
    <row r="24" spans="1:15" s="6" customFormat="1" ht="38.25" customHeight="1">
      <c r="A24" s="15" t="s">
        <v>65</v>
      </c>
      <c r="B24" s="112"/>
      <c r="C24" s="103"/>
      <c r="D24" s="101"/>
      <c r="E24" s="105"/>
      <c r="F24" s="105"/>
      <c r="G24" s="133"/>
      <c r="H24" s="107"/>
      <c r="I24" s="104"/>
      <c r="J24" s="102"/>
      <c r="K24" s="108"/>
      <c r="L24" s="6" t="s">
        <v>254</v>
      </c>
      <c r="M24" s="6" t="s">
        <v>255</v>
      </c>
      <c r="N24" s="6" t="s">
        <v>256</v>
      </c>
      <c r="O24" s="6" t="s">
        <v>257</v>
      </c>
    </row>
    <row r="25" spans="1:15" s="6" customFormat="1" ht="38.25" customHeight="1">
      <c r="A25" s="15" t="s">
        <v>66</v>
      </c>
      <c r="B25" s="112"/>
      <c r="C25" s="103"/>
      <c r="D25" s="101"/>
      <c r="E25" s="105"/>
      <c r="F25" s="105"/>
      <c r="G25" s="133"/>
      <c r="H25" s="107"/>
      <c r="I25" s="104"/>
      <c r="J25" s="102"/>
      <c r="K25" s="108"/>
      <c r="L25" s="6" t="s">
        <v>254</v>
      </c>
      <c r="M25" s="6" t="s">
        <v>255</v>
      </c>
      <c r="N25" s="6" t="s">
        <v>256</v>
      </c>
      <c r="O25" s="6" t="s">
        <v>257</v>
      </c>
    </row>
    <row r="26" spans="1:15" s="6" customFormat="1" ht="38.25" customHeight="1">
      <c r="A26" s="15" t="s">
        <v>67</v>
      </c>
      <c r="B26" s="112"/>
      <c r="C26" s="103"/>
      <c r="D26" s="101"/>
      <c r="E26" s="105"/>
      <c r="F26" s="105"/>
      <c r="G26" s="133"/>
      <c r="H26" s="107"/>
      <c r="I26" s="104"/>
      <c r="J26" s="102"/>
      <c r="K26" s="108"/>
      <c r="L26" s="6" t="s">
        <v>254</v>
      </c>
      <c r="M26" s="6" t="s">
        <v>255</v>
      </c>
      <c r="N26" s="6" t="s">
        <v>256</v>
      </c>
      <c r="O26" s="6" t="s">
        <v>257</v>
      </c>
    </row>
    <row r="27" spans="1:15" s="6" customFormat="1" ht="38.25" customHeight="1">
      <c r="A27" s="15" t="s">
        <v>68</v>
      </c>
      <c r="B27" s="112"/>
      <c r="C27" s="103"/>
      <c r="D27" s="101"/>
      <c r="E27" s="105"/>
      <c r="F27" s="105"/>
      <c r="G27" s="133"/>
      <c r="H27" s="107"/>
      <c r="I27" s="104"/>
      <c r="J27" s="102"/>
      <c r="K27" s="108"/>
      <c r="L27" s="6" t="s">
        <v>254</v>
      </c>
      <c r="M27" s="6" t="s">
        <v>255</v>
      </c>
      <c r="N27" s="6" t="s">
        <v>256</v>
      </c>
      <c r="O27" s="6" t="s">
        <v>257</v>
      </c>
    </row>
    <row r="28" spans="1:15" s="6" customFormat="1" ht="38.25" customHeight="1">
      <c r="A28" s="15" t="s">
        <v>69</v>
      </c>
      <c r="B28" s="112"/>
      <c r="C28" s="103"/>
      <c r="D28" s="101"/>
      <c r="E28" s="105"/>
      <c r="F28" s="105"/>
      <c r="G28" s="133"/>
      <c r="H28" s="107"/>
      <c r="I28" s="104"/>
      <c r="J28" s="102"/>
      <c r="K28" s="108"/>
      <c r="L28" s="6" t="s">
        <v>254</v>
      </c>
      <c r="M28" s="6" t="s">
        <v>255</v>
      </c>
      <c r="N28" s="6" t="s">
        <v>256</v>
      </c>
      <c r="O28" s="6" t="s">
        <v>257</v>
      </c>
    </row>
    <row r="29" spans="1:15" s="6" customFormat="1" ht="38.25" customHeight="1">
      <c r="A29" s="15" t="s">
        <v>70</v>
      </c>
      <c r="B29" s="112"/>
      <c r="C29" s="103"/>
      <c r="D29" s="101"/>
      <c r="E29" s="105"/>
      <c r="F29" s="105"/>
      <c r="G29" s="133"/>
      <c r="H29" s="107"/>
      <c r="I29" s="104"/>
      <c r="J29" s="102"/>
      <c r="K29" s="108"/>
      <c r="L29" s="6" t="s">
        <v>254</v>
      </c>
      <c r="M29" s="6" t="s">
        <v>255</v>
      </c>
      <c r="N29" s="6" t="s">
        <v>256</v>
      </c>
      <c r="O29" s="6" t="s">
        <v>257</v>
      </c>
    </row>
    <row r="30" spans="1:15" s="6" customFormat="1" ht="38.25" customHeight="1">
      <c r="A30" s="15" t="s">
        <v>71</v>
      </c>
      <c r="B30" s="112"/>
      <c r="C30" s="103"/>
      <c r="D30" s="101"/>
      <c r="E30" s="105"/>
      <c r="F30" s="105"/>
      <c r="G30" s="133"/>
      <c r="H30" s="107"/>
      <c r="I30" s="104"/>
      <c r="J30" s="102"/>
      <c r="K30" s="108"/>
      <c r="L30" s="6" t="s">
        <v>254</v>
      </c>
      <c r="M30" s="6" t="s">
        <v>255</v>
      </c>
      <c r="N30" s="6" t="s">
        <v>256</v>
      </c>
      <c r="O30" s="6" t="s">
        <v>257</v>
      </c>
    </row>
    <row r="31" spans="1:15" s="6" customFormat="1" ht="38.25" customHeight="1">
      <c r="A31" s="15" t="s">
        <v>72</v>
      </c>
      <c r="B31" s="112"/>
      <c r="C31" s="103"/>
      <c r="D31" s="101"/>
      <c r="E31" s="105"/>
      <c r="F31" s="105"/>
      <c r="G31" s="133"/>
      <c r="H31" s="107"/>
      <c r="I31" s="104"/>
      <c r="J31" s="102"/>
      <c r="K31" s="108"/>
      <c r="L31" s="6" t="s">
        <v>254</v>
      </c>
      <c r="M31" s="6" t="s">
        <v>255</v>
      </c>
      <c r="N31" s="6" t="s">
        <v>256</v>
      </c>
      <c r="O31" s="6" t="s">
        <v>257</v>
      </c>
    </row>
    <row r="32" spans="1:15" s="6" customFormat="1" ht="38.25" customHeight="1">
      <c r="A32" s="15" t="s">
        <v>73</v>
      </c>
      <c r="B32" s="112"/>
      <c r="C32" s="103"/>
      <c r="D32" s="101"/>
      <c r="E32" s="105"/>
      <c r="F32" s="105"/>
      <c r="G32" s="133"/>
      <c r="H32" s="107"/>
      <c r="I32" s="104"/>
      <c r="J32" s="102"/>
      <c r="K32" s="108"/>
      <c r="L32" s="6" t="s">
        <v>254</v>
      </c>
      <c r="M32" s="6" t="s">
        <v>255</v>
      </c>
      <c r="N32" s="6" t="s">
        <v>256</v>
      </c>
      <c r="O32" s="6" t="s">
        <v>257</v>
      </c>
    </row>
    <row r="33" spans="1:15" s="6" customFormat="1" ht="38.25" customHeight="1">
      <c r="A33" s="15" t="s">
        <v>74</v>
      </c>
      <c r="B33" s="112"/>
      <c r="C33" s="103"/>
      <c r="D33" s="101"/>
      <c r="E33" s="105"/>
      <c r="F33" s="105"/>
      <c r="G33" s="133"/>
      <c r="H33" s="107"/>
      <c r="I33" s="104"/>
      <c r="J33" s="102"/>
      <c r="K33" s="108"/>
      <c r="L33" s="6" t="s">
        <v>254</v>
      </c>
      <c r="M33" s="6" t="s">
        <v>255</v>
      </c>
      <c r="N33" s="6" t="s">
        <v>256</v>
      </c>
      <c r="O33" s="6" t="s">
        <v>257</v>
      </c>
    </row>
    <row r="34" spans="1:15" s="6" customFormat="1" ht="38.25" customHeight="1">
      <c r="A34" s="15" t="s">
        <v>75</v>
      </c>
      <c r="B34" s="112"/>
      <c r="C34" s="103"/>
      <c r="D34" s="101"/>
      <c r="E34" s="105"/>
      <c r="F34" s="105"/>
      <c r="G34" s="133"/>
      <c r="H34" s="107"/>
      <c r="I34" s="104"/>
      <c r="J34" s="102"/>
      <c r="K34" s="108"/>
      <c r="L34" s="6" t="s">
        <v>254</v>
      </c>
      <c r="M34" s="6" t="s">
        <v>255</v>
      </c>
      <c r="N34" s="6" t="s">
        <v>256</v>
      </c>
      <c r="O34" s="6" t="s">
        <v>257</v>
      </c>
    </row>
    <row r="35" spans="1:15" s="6" customFormat="1" ht="38.25" customHeight="1">
      <c r="A35" s="15" t="s">
        <v>76</v>
      </c>
      <c r="B35" s="112"/>
      <c r="C35" s="103"/>
      <c r="D35" s="101"/>
      <c r="E35" s="105"/>
      <c r="F35" s="105"/>
      <c r="G35" s="133"/>
      <c r="H35" s="107"/>
      <c r="I35" s="104"/>
      <c r="J35" s="102"/>
      <c r="K35" s="108"/>
      <c r="L35" s="6" t="s">
        <v>254</v>
      </c>
      <c r="M35" s="6" t="s">
        <v>255</v>
      </c>
      <c r="N35" s="6" t="s">
        <v>256</v>
      </c>
      <c r="O35" s="6" t="s">
        <v>257</v>
      </c>
    </row>
    <row r="36" spans="1:15" s="6" customFormat="1" ht="38.25" customHeight="1">
      <c r="A36" s="15" t="s">
        <v>77</v>
      </c>
      <c r="B36" s="112"/>
      <c r="C36" s="103"/>
      <c r="D36" s="101"/>
      <c r="E36" s="105"/>
      <c r="F36" s="105"/>
      <c r="G36" s="133"/>
      <c r="H36" s="107"/>
      <c r="I36" s="104"/>
      <c r="J36" s="102"/>
      <c r="K36" s="108"/>
      <c r="L36" s="6" t="s">
        <v>254</v>
      </c>
      <c r="M36" s="6" t="s">
        <v>255</v>
      </c>
      <c r="N36" s="6" t="s">
        <v>256</v>
      </c>
      <c r="O36" s="6" t="s">
        <v>257</v>
      </c>
    </row>
    <row r="37" spans="1:15" s="6" customFormat="1" ht="38.25" customHeight="1">
      <c r="A37" s="15" t="s">
        <v>78</v>
      </c>
      <c r="B37" s="112"/>
      <c r="C37" s="103"/>
      <c r="D37" s="101"/>
      <c r="E37" s="105"/>
      <c r="F37" s="105"/>
      <c r="G37" s="133"/>
      <c r="H37" s="107"/>
      <c r="I37" s="104"/>
      <c r="J37" s="102"/>
      <c r="K37" s="108"/>
      <c r="L37" s="6" t="s">
        <v>254</v>
      </c>
      <c r="M37" s="6" t="s">
        <v>255</v>
      </c>
      <c r="N37" s="6" t="s">
        <v>256</v>
      </c>
      <c r="O37" s="6" t="s">
        <v>257</v>
      </c>
    </row>
    <row r="38" spans="1:15" s="6" customFormat="1" ht="38.25" customHeight="1">
      <c r="A38" s="15" t="s">
        <v>79</v>
      </c>
      <c r="B38" s="112"/>
      <c r="C38" s="103"/>
      <c r="D38" s="101"/>
      <c r="E38" s="105"/>
      <c r="F38" s="105"/>
      <c r="G38" s="133"/>
      <c r="H38" s="107"/>
      <c r="I38" s="104"/>
      <c r="J38" s="102"/>
      <c r="K38" s="108"/>
      <c r="L38" s="6" t="s">
        <v>254</v>
      </c>
      <c r="M38" s="6" t="s">
        <v>255</v>
      </c>
      <c r="N38" s="6" t="s">
        <v>256</v>
      </c>
      <c r="O38" s="6" t="s">
        <v>257</v>
      </c>
    </row>
    <row r="39" spans="1:15" s="6" customFormat="1" ht="38.25" customHeight="1">
      <c r="A39" s="15" t="s">
        <v>80</v>
      </c>
      <c r="B39" s="112"/>
      <c r="C39" s="103"/>
      <c r="D39" s="101"/>
      <c r="E39" s="105"/>
      <c r="F39" s="105"/>
      <c r="G39" s="133"/>
      <c r="H39" s="107"/>
      <c r="I39" s="104"/>
      <c r="J39" s="102"/>
      <c r="K39" s="108"/>
      <c r="L39" s="6" t="s">
        <v>254</v>
      </c>
      <c r="M39" s="6" t="s">
        <v>255</v>
      </c>
      <c r="N39" s="6" t="s">
        <v>256</v>
      </c>
      <c r="O39" s="6" t="s">
        <v>257</v>
      </c>
    </row>
    <row r="40" spans="1:15" s="6" customFormat="1" ht="38.25" customHeight="1">
      <c r="A40" s="15" t="s">
        <v>81</v>
      </c>
      <c r="B40" s="112"/>
      <c r="C40" s="103"/>
      <c r="D40" s="101"/>
      <c r="E40" s="105"/>
      <c r="F40" s="105"/>
      <c r="G40" s="133"/>
      <c r="H40" s="107"/>
      <c r="I40" s="104"/>
      <c r="J40" s="102"/>
      <c r="K40" s="108"/>
      <c r="L40" s="6" t="s">
        <v>254</v>
      </c>
      <c r="M40" s="6" t="s">
        <v>255</v>
      </c>
      <c r="N40" s="6" t="s">
        <v>256</v>
      </c>
      <c r="O40" s="6" t="s">
        <v>257</v>
      </c>
    </row>
    <row r="41" spans="1:15" s="6" customFormat="1" ht="38.25" customHeight="1">
      <c r="A41" s="15" t="s">
        <v>82</v>
      </c>
      <c r="B41" s="112"/>
      <c r="C41" s="103"/>
      <c r="D41" s="101"/>
      <c r="E41" s="105"/>
      <c r="F41" s="105"/>
      <c r="G41" s="133"/>
      <c r="H41" s="107"/>
      <c r="I41" s="104"/>
      <c r="J41" s="102"/>
      <c r="K41" s="108"/>
      <c r="L41" s="6" t="s">
        <v>254</v>
      </c>
      <c r="M41" s="6" t="s">
        <v>255</v>
      </c>
      <c r="N41" s="6" t="s">
        <v>256</v>
      </c>
      <c r="O41" s="6" t="s">
        <v>257</v>
      </c>
    </row>
    <row r="42" spans="1:15" s="6" customFormat="1" ht="38.25" customHeight="1">
      <c r="A42" s="15" t="s">
        <v>83</v>
      </c>
      <c r="B42" s="112"/>
      <c r="C42" s="103"/>
      <c r="D42" s="101"/>
      <c r="E42" s="105"/>
      <c r="F42" s="105"/>
      <c r="G42" s="133"/>
      <c r="H42" s="107"/>
      <c r="I42" s="104"/>
      <c r="J42" s="102"/>
      <c r="K42" s="108"/>
      <c r="L42" s="6" t="s">
        <v>254</v>
      </c>
      <c r="M42" s="6" t="s">
        <v>255</v>
      </c>
      <c r="N42" s="6" t="s">
        <v>256</v>
      </c>
      <c r="O42" s="6" t="s">
        <v>257</v>
      </c>
    </row>
    <row r="43" spans="1:15" s="6" customFormat="1" ht="38.25" customHeight="1">
      <c r="A43" s="15" t="s">
        <v>85</v>
      </c>
      <c r="B43" s="112"/>
      <c r="C43" s="103"/>
      <c r="D43" s="101"/>
      <c r="E43" s="105"/>
      <c r="F43" s="105"/>
      <c r="G43" s="133"/>
      <c r="H43" s="107"/>
      <c r="I43" s="104"/>
      <c r="J43" s="102"/>
      <c r="K43" s="108"/>
      <c r="L43" s="6" t="s">
        <v>254</v>
      </c>
      <c r="M43" s="6" t="s">
        <v>255</v>
      </c>
      <c r="N43" s="6" t="s">
        <v>256</v>
      </c>
      <c r="O43" s="6" t="s">
        <v>257</v>
      </c>
    </row>
    <row r="44" spans="1:15" s="6" customFormat="1" ht="38.25" customHeight="1">
      <c r="A44" s="15" t="s">
        <v>188</v>
      </c>
      <c r="B44" s="112"/>
      <c r="C44" s="103"/>
      <c r="D44" s="101"/>
      <c r="E44" s="105"/>
      <c r="F44" s="105"/>
      <c r="G44" s="133"/>
      <c r="H44" s="107"/>
      <c r="I44" s="104"/>
      <c r="J44" s="102"/>
      <c r="K44" s="108"/>
    </row>
    <row r="45" spans="1:15" s="6" customFormat="1" ht="38.25" customHeight="1">
      <c r="A45" s="15" t="s">
        <v>189</v>
      </c>
      <c r="B45" s="112"/>
      <c r="C45" s="103"/>
      <c r="D45" s="101"/>
      <c r="E45" s="105"/>
      <c r="F45" s="105"/>
      <c r="G45" s="133"/>
      <c r="H45" s="107"/>
      <c r="I45" s="104"/>
      <c r="J45" s="102"/>
      <c r="K45" s="108"/>
    </row>
    <row r="46" spans="1:15" s="6" customFormat="1" ht="38.25" customHeight="1">
      <c r="A46" s="15" t="s">
        <v>190</v>
      </c>
      <c r="B46" s="112"/>
      <c r="C46" s="103"/>
      <c r="D46" s="101"/>
      <c r="E46" s="105"/>
      <c r="F46" s="105"/>
      <c r="G46" s="133"/>
      <c r="H46" s="107"/>
      <c r="I46" s="104"/>
      <c r="J46" s="102"/>
      <c r="K46" s="108"/>
    </row>
    <row r="47" spans="1:15" s="6" customFormat="1" ht="38.25" customHeight="1">
      <c r="A47" s="15" t="s">
        <v>191</v>
      </c>
      <c r="B47" s="112"/>
      <c r="C47" s="103"/>
      <c r="D47" s="101"/>
      <c r="E47" s="105"/>
      <c r="F47" s="105"/>
      <c r="G47" s="133"/>
      <c r="H47" s="107"/>
      <c r="I47" s="104"/>
      <c r="J47" s="102"/>
      <c r="K47" s="108"/>
    </row>
    <row r="48" spans="1:15" s="6" customFormat="1" ht="38.25" customHeight="1">
      <c r="A48" s="15" t="s">
        <v>192</v>
      </c>
      <c r="B48" s="112"/>
      <c r="C48" s="103"/>
      <c r="D48" s="101"/>
      <c r="E48" s="105"/>
      <c r="F48" s="105"/>
      <c r="G48" s="133"/>
      <c r="H48" s="107"/>
      <c r="I48" s="104"/>
      <c r="J48" s="102"/>
      <c r="K48" s="108"/>
    </row>
    <row r="49" spans="1:11" s="6" customFormat="1" ht="38.25" customHeight="1">
      <c r="A49" s="15" t="s">
        <v>193</v>
      </c>
      <c r="B49" s="112"/>
      <c r="C49" s="103"/>
      <c r="D49" s="101"/>
      <c r="E49" s="105"/>
      <c r="F49" s="105"/>
      <c r="G49" s="133"/>
      <c r="H49" s="107"/>
      <c r="I49" s="104"/>
      <c r="J49" s="102"/>
      <c r="K49" s="108"/>
    </row>
    <row r="50" spans="1:11" s="6" customFormat="1" ht="38.25" customHeight="1">
      <c r="A50" s="15" t="s">
        <v>194</v>
      </c>
      <c r="B50" s="112"/>
      <c r="C50" s="103"/>
      <c r="D50" s="101"/>
      <c r="E50" s="105"/>
      <c r="F50" s="105"/>
      <c r="G50" s="133"/>
      <c r="H50" s="107"/>
      <c r="I50" s="104"/>
      <c r="J50" s="102"/>
      <c r="K50" s="108"/>
    </row>
    <row r="51" spans="1:11" s="6" customFormat="1" ht="38.25" customHeight="1">
      <c r="A51" s="15" t="s">
        <v>195</v>
      </c>
      <c r="B51" s="112"/>
      <c r="C51" s="103"/>
      <c r="D51" s="101"/>
      <c r="E51" s="105"/>
      <c r="F51" s="105"/>
      <c r="G51" s="133"/>
      <c r="H51" s="107"/>
      <c r="I51" s="104"/>
      <c r="J51" s="102"/>
      <c r="K51" s="108"/>
    </row>
    <row r="52" spans="1:11" s="6" customFormat="1" ht="38.25" customHeight="1">
      <c r="A52" s="15" t="s">
        <v>196</v>
      </c>
      <c r="B52" s="112"/>
      <c r="C52" s="103"/>
      <c r="D52" s="101"/>
      <c r="E52" s="105"/>
      <c r="F52" s="105"/>
      <c r="G52" s="133"/>
      <c r="H52" s="107"/>
      <c r="I52" s="104"/>
      <c r="J52" s="102"/>
      <c r="K52" s="108"/>
    </row>
    <row r="53" spans="1:11" s="6" customFormat="1" ht="38.25" customHeight="1">
      <c r="A53" s="15" t="s">
        <v>197</v>
      </c>
      <c r="B53" s="112"/>
      <c r="C53" s="103"/>
      <c r="D53" s="101"/>
      <c r="E53" s="105"/>
      <c r="F53" s="105"/>
      <c r="G53" s="133"/>
      <c r="H53" s="107"/>
      <c r="I53" s="104"/>
      <c r="J53" s="102"/>
      <c r="K53" s="108"/>
    </row>
    <row r="54" spans="1:11" s="6" customFormat="1" ht="38.25" customHeight="1">
      <c r="A54" s="15" t="s">
        <v>198</v>
      </c>
      <c r="B54" s="112"/>
      <c r="C54" s="103"/>
      <c r="D54" s="101"/>
      <c r="E54" s="105"/>
      <c r="F54" s="105"/>
      <c r="G54" s="133"/>
      <c r="H54" s="107"/>
      <c r="I54" s="104"/>
      <c r="J54" s="102"/>
      <c r="K54" s="108"/>
    </row>
    <row r="55" spans="1:11" s="6" customFormat="1" ht="38.25" customHeight="1">
      <c r="A55" s="15" t="s">
        <v>199</v>
      </c>
      <c r="B55" s="112"/>
      <c r="C55" s="103"/>
      <c r="D55" s="101"/>
      <c r="E55" s="105"/>
      <c r="F55" s="105"/>
      <c r="G55" s="133"/>
      <c r="H55" s="107"/>
      <c r="I55" s="104"/>
      <c r="J55" s="102"/>
      <c r="K55" s="108"/>
    </row>
    <row r="56" spans="1:11" s="6" customFormat="1" ht="38.25" customHeight="1">
      <c r="A56" s="15" t="s">
        <v>200</v>
      </c>
      <c r="B56" s="112"/>
      <c r="C56" s="103"/>
      <c r="D56" s="101"/>
      <c r="E56" s="105"/>
      <c r="F56" s="105"/>
      <c r="G56" s="133"/>
      <c r="H56" s="107"/>
      <c r="I56" s="104"/>
      <c r="J56" s="102"/>
      <c r="K56" s="108"/>
    </row>
    <row r="57" spans="1:11" s="6" customFormat="1" ht="38.25" customHeight="1">
      <c r="A57" s="15" t="s">
        <v>201</v>
      </c>
      <c r="B57" s="112"/>
      <c r="C57" s="103"/>
      <c r="D57" s="101"/>
      <c r="E57" s="105"/>
      <c r="F57" s="105"/>
      <c r="G57" s="133"/>
      <c r="H57" s="107"/>
      <c r="I57" s="104"/>
      <c r="J57" s="102"/>
      <c r="K57" s="108"/>
    </row>
    <row r="58" spans="1:11" s="6" customFormat="1" ht="38.25" customHeight="1">
      <c r="A58" s="15" t="s">
        <v>202</v>
      </c>
      <c r="B58" s="112"/>
      <c r="C58" s="103"/>
      <c r="D58" s="101"/>
      <c r="E58" s="105"/>
      <c r="F58" s="105"/>
      <c r="G58" s="133"/>
      <c r="H58" s="107"/>
      <c r="I58" s="104"/>
      <c r="J58" s="102"/>
      <c r="K58" s="108"/>
    </row>
    <row r="59" spans="1:11" s="6" customFormat="1" ht="38.25" customHeight="1">
      <c r="A59" s="15" t="s">
        <v>203</v>
      </c>
      <c r="B59" s="112"/>
      <c r="C59" s="103"/>
      <c r="D59" s="101"/>
      <c r="E59" s="105"/>
      <c r="F59" s="105"/>
      <c r="G59" s="133"/>
      <c r="H59" s="107"/>
      <c r="I59" s="104"/>
      <c r="J59" s="102"/>
      <c r="K59" s="108"/>
    </row>
    <row r="60" spans="1:11" s="6" customFormat="1" ht="38.25" customHeight="1">
      <c r="A60" s="15" t="s">
        <v>204</v>
      </c>
      <c r="B60" s="112"/>
      <c r="C60" s="103"/>
      <c r="D60" s="101"/>
      <c r="E60" s="105"/>
      <c r="F60" s="105"/>
      <c r="G60" s="133"/>
      <c r="H60" s="107"/>
      <c r="I60" s="104"/>
      <c r="J60" s="102"/>
      <c r="K60" s="108"/>
    </row>
    <row r="61" spans="1:11" s="6" customFormat="1" ht="38.25" customHeight="1">
      <c r="A61" s="15" t="s">
        <v>205</v>
      </c>
      <c r="B61" s="112"/>
      <c r="C61" s="103"/>
      <c r="D61" s="101"/>
      <c r="E61" s="105"/>
      <c r="F61" s="105"/>
      <c r="G61" s="133"/>
      <c r="H61" s="107"/>
      <c r="I61" s="104"/>
      <c r="J61" s="102"/>
      <c r="K61" s="108"/>
    </row>
    <row r="62" spans="1:11" s="6" customFormat="1" ht="38.25" customHeight="1">
      <c r="A62" s="15" t="s">
        <v>206</v>
      </c>
      <c r="B62" s="112"/>
      <c r="C62" s="103"/>
      <c r="D62" s="101"/>
      <c r="E62" s="105"/>
      <c r="F62" s="105"/>
      <c r="G62" s="133"/>
      <c r="H62" s="107"/>
      <c r="I62" s="104"/>
      <c r="J62" s="102"/>
      <c r="K62" s="108"/>
    </row>
    <row r="63" spans="1:11" s="6" customFormat="1" ht="38.25" customHeight="1">
      <c r="A63" s="15" t="s">
        <v>207</v>
      </c>
      <c r="B63" s="112"/>
      <c r="C63" s="103"/>
      <c r="D63" s="101"/>
      <c r="E63" s="105"/>
      <c r="F63" s="105"/>
      <c r="G63" s="133"/>
      <c r="H63" s="107"/>
      <c r="I63" s="104"/>
      <c r="J63" s="102"/>
      <c r="K63" s="108"/>
    </row>
    <row r="64" spans="1:11" s="6" customFormat="1" ht="38.25" customHeight="1">
      <c r="A64" s="15" t="s">
        <v>208</v>
      </c>
      <c r="B64" s="112"/>
      <c r="C64" s="103"/>
      <c r="D64" s="101"/>
      <c r="E64" s="105"/>
      <c r="F64" s="105"/>
      <c r="G64" s="133"/>
      <c r="H64" s="107"/>
      <c r="I64" s="104"/>
      <c r="J64" s="102"/>
      <c r="K64" s="108"/>
    </row>
    <row r="65" spans="1:11" s="6" customFormat="1" ht="38.25" customHeight="1">
      <c r="A65" s="15" t="s">
        <v>209</v>
      </c>
      <c r="B65" s="112"/>
      <c r="C65" s="103"/>
      <c r="D65" s="101"/>
      <c r="E65" s="105"/>
      <c r="F65" s="105"/>
      <c r="G65" s="133"/>
      <c r="H65" s="107"/>
      <c r="I65" s="104"/>
      <c r="J65" s="102"/>
      <c r="K65" s="108"/>
    </row>
    <row r="66" spans="1:11" s="6" customFormat="1" ht="38.25" customHeight="1">
      <c r="A66" s="15" t="s">
        <v>210</v>
      </c>
      <c r="B66" s="112"/>
      <c r="C66" s="103"/>
      <c r="D66" s="101"/>
      <c r="E66" s="105"/>
      <c r="F66" s="105"/>
      <c r="G66" s="133"/>
      <c r="H66" s="107"/>
      <c r="I66" s="104"/>
      <c r="J66" s="102"/>
      <c r="K66" s="108"/>
    </row>
    <row r="67" spans="1:11" s="6" customFormat="1" ht="38.25" customHeight="1">
      <c r="A67" s="15" t="s">
        <v>211</v>
      </c>
      <c r="B67" s="112"/>
      <c r="C67" s="103"/>
      <c r="D67" s="101"/>
      <c r="E67" s="105"/>
      <c r="F67" s="105"/>
      <c r="G67" s="133"/>
      <c r="H67" s="107"/>
      <c r="I67" s="104"/>
      <c r="J67" s="102"/>
      <c r="K67" s="108"/>
    </row>
    <row r="68" spans="1:11" s="6" customFormat="1" ht="38.25" customHeight="1">
      <c r="A68" s="15" t="s">
        <v>212</v>
      </c>
      <c r="B68" s="112"/>
      <c r="C68" s="103"/>
      <c r="D68" s="101"/>
      <c r="E68" s="105"/>
      <c r="F68" s="105"/>
      <c r="G68" s="133"/>
      <c r="H68" s="107"/>
      <c r="I68" s="104"/>
      <c r="J68" s="102"/>
      <c r="K68" s="108"/>
    </row>
    <row r="69" spans="1:11" s="6" customFormat="1" ht="38.25" customHeight="1">
      <c r="A69" s="15" t="s">
        <v>213</v>
      </c>
      <c r="B69" s="112"/>
      <c r="C69" s="103"/>
      <c r="D69" s="101"/>
      <c r="E69" s="105"/>
      <c r="F69" s="105"/>
      <c r="G69" s="133"/>
      <c r="H69" s="107"/>
      <c r="I69" s="104"/>
      <c r="J69" s="102"/>
      <c r="K69" s="108"/>
    </row>
    <row r="70" spans="1:11" s="6" customFormat="1" ht="38.25" customHeight="1">
      <c r="A70" s="15" t="s">
        <v>214</v>
      </c>
      <c r="B70" s="112"/>
      <c r="C70" s="103"/>
      <c r="D70" s="101"/>
      <c r="E70" s="105"/>
      <c r="F70" s="105"/>
      <c r="G70" s="133"/>
      <c r="H70" s="107"/>
      <c r="I70" s="104"/>
      <c r="J70" s="102"/>
      <c r="K70" s="108"/>
    </row>
    <row r="71" spans="1:11" s="6" customFormat="1" ht="38.25" customHeight="1">
      <c r="A71" s="15" t="s">
        <v>215</v>
      </c>
      <c r="B71" s="112"/>
      <c r="C71" s="103"/>
      <c r="D71" s="101"/>
      <c r="E71" s="105"/>
      <c r="F71" s="105"/>
      <c r="G71" s="133"/>
      <c r="H71" s="107"/>
      <c r="I71" s="104"/>
      <c r="J71" s="102"/>
      <c r="K71" s="108"/>
    </row>
    <row r="72" spans="1:11" s="6" customFormat="1" ht="38.25" customHeight="1">
      <c r="A72" s="15" t="s">
        <v>216</v>
      </c>
      <c r="B72" s="112"/>
      <c r="C72" s="103"/>
      <c r="D72" s="101"/>
      <c r="E72" s="105"/>
      <c r="F72" s="105"/>
      <c r="G72" s="133"/>
      <c r="H72" s="107"/>
      <c r="I72" s="104"/>
      <c r="J72" s="102"/>
      <c r="K72" s="108"/>
    </row>
    <row r="73" spans="1:11" s="6" customFormat="1" ht="38.25" customHeight="1">
      <c r="A73" s="15" t="s">
        <v>217</v>
      </c>
      <c r="B73" s="112"/>
      <c r="C73" s="103"/>
      <c r="D73" s="101"/>
      <c r="E73" s="105"/>
      <c r="F73" s="105"/>
      <c r="G73" s="133"/>
      <c r="H73" s="107"/>
      <c r="I73" s="104"/>
      <c r="J73" s="102"/>
      <c r="K73" s="108"/>
    </row>
    <row r="74" spans="1:11" s="6" customFormat="1" ht="38.25" customHeight="1">
      <c r="A74" s="15" t="s">
        <v>218</v>
      </c>
      <c r="B74" s="112"/>
      <c r="C74" s="103"/>
      <c r="D74" s="101"/>
      <c r="E74" s="105"/>
      <c r="F74" s="105"/>
      <c r="G74" s="133"/>
      <c r="H74" s="107"/>
      <c r="I74" s="104"/>
      <c r="J74" s="102"/>
      <c r="K74" s="108"/>
    </row>
    <row r="75" spans="1:11" s="6" customFormat="1" ht="38.25" customHeight="1">
      <c r="A75" s="15" t="s">
        <v>219</v>
      </c>
      <c r="B75" s="112"/>
      <c r="C75" s="103"/>
      <c r="D75" s="101"/>
      <c r="E75" s="105"/>
      <c r="F75" s="105"/>
      <c r="G75" s="133"/>
      <c r="H75" s="107"/>
      <c r="I75" s="104"/>
      <c r="J75" s="102"/>
      <c r="K75" s="108"/>
    </row>
    <row r="76" spans="1:11" s="6" customFormat="1" ht="38.25" customHeight="1">
      <c r="A76" s="15" t="s">
        <v>220</v>
      </c>
      <c r="B76" s="112"/>
      <c r="C76" s="103"/>
      <c r="D76" s="101"/>
      <c r="E76" s="105"/>
      <c r="F76" s="105"/>
      <c r="G76" s="133"/>
      <c r="H76" s="107"/>
      <c r="I76" s="104"/>
      <c r="J76" s="102"/>
      <c r="K76" s="108"/>
    </row>
    <row r="77" spans="1:11" s="6" customFormat="1" ht="38.25" customHeight="1">
      <c r="A77" s="15" t="s">
        <v>221</v>
      </c>
      <c r="B77" s="112"/>
      <c r="C77" s="103"/>
      <c r="D77" s="101"/>
      <c r="E77" s="105"/>
      <c r="F77" s="105"/>
      <c r="G77" s="133"/>
      <c r="H77" s="107"/>
      <c r="I77" s="104"/>
      <c r="J77" s="102"/>
      <c r="K77" s="108"/>
    </row>
    <row r="78" spans="1:11" s="6" customFormat="1" ht="38.25" customHeight="1">
      <c r="A78" s="15" t="s">
        <v>222</v>
      </c>
      <c r="B78" s="112"/>
      <c r="C78" s="103"/>
      <c r="D78" s="101"/>
      <c r="E78" s="105"/>
      <c r="F78" s="105"/>
      <c r="G78" s="133"/>
      <c r="H78" s="107"/>
      <c r="I78" s="104"/>
      <c r="J78" s="102"/>
      <c r="K78" s="108"/>
    </row>
    <row r="79" spans="1:11" s="6" customFormat="1" ht="38.25" customHeight="1">
      <c r="A79" s="15" t="s">
        <v>223</v>
      </c>
      <c r="B79" s="112"/>
      <c r="C79" s="103"/>
      <c r="D79" s="101"/>
      <c r="E79" s="105"/>
      <c r="F79" s="105"/>
      <c r="G79" s="133"/>
      <c r="H79" s="107"/>
      <c r="I79" s="104"/>
      <c r="J79" s="102"/>
      <c r="K79" s="108"/>
    </row>
    <row r="80" spans="1:11" s="6" customFormat="1" ht="38.25" customHeight="1">
      <c r="A80" s="15" t="s">
        <v>224</v>
      </c>
      <c r="B80" s="112"/>
      <c r="C80" s="103"/>
      <c r="D80" s="101"/>
      <c r="E80" s="105"/>
      <c r="F80" s="105"/>
      <c r="G80" s="133"/>
      <c r="H80" s="107"/>
      <c r="I80" s="104"/>
      <c r="J80" s="102"/>
      <c r="K80" s="108"/>
    </row>
    <row r="81" spans="1:11" s="6" customFormat="1" ht="38.25" customHeight="1">
      <c r="A81" s="15" t="s">
        <v>225</v>
      </c>
      <c r="B81" s="112"/>
      <c r="C81" s="103"/>
      <c r="D81" s="101"/>
      <c r="E81" s="105"/>
      <c r="F81" s="105"/>
      <c r="G81" s="133"/>
      <c r="H81" s="107"/>
      <c r="I81" s="104"/>
      <c r="J81" s="102"/>
      <c r="K81" s="108"/>
    </row>
    <row r="82" spans="1:11" s="6" customFormat="1" ht="38.25" customHeight="1">
      <c r="A82" s="15" t="s">
        <v>226</v>
      </c>
      <c r="B82" s="112"/>
      <c r="C82" s="103"/>
      <c r="D82" s="101"/>
      <c r="E82" s="105"/>
      <c r="F82" s="105"/>
      <c r="G82" s="133"/>
      <c r="H82" s="107"/>
      <c r="I82" s="104"/>
      <c r="J82" s="102"/>
      <c r="K82" s="108"/>
    </row>
    <row r="83" spans="1:11" s="6" customFormat="1" ht="38.25" customHeight="1">
      <c r="A83" s="15" t="s">
        <v>227</v>
      </c>
      <c r="B83" s="112"/>
      <c r="C83" s="103"/>
      <c r="D83" s="101"/>
      <c r="E83" s="105"/>
      <c r="F83" s="105"/>
      <c r="G83" s="133"/>
      <c r="H83" s="107"/>
      <c r="I83" s="104"/>
      <c r="J83" s="102"/>
      <c r="K83" s="108"/>
    </row>
    <row r="84" spans="1:11" s="6" customFormat="1" ht="38.25" customHeight="1">
      <c r="A84" s="15" t="s">
        <v>228</v>
      </c>
      <c r="B84" s="112"/>
      <c r="C84" s="103"/>
      <c r="D84" s="101"/>
      <c r="E84" s="105"/>
      <c r="F84" s="105"/>
      <c r="G84" s="133"/>
      <c r="H84" s="107"/>
      <c r="I84" s="104"/>
      <c r="J84" s="102"/>
      <c r="K84" s="108"/>
    </row>
    <row r="85" spans="1:11" s="6" customFormat="1" ht="38.25" customHeight="1">
      <c r="A85" s="15" t="s">
        <v>229</v>
      </c>
      <c r="B85" s="112"/>
      <c r="C85" s="103"/>
      <c r="D85" s="101"/>
      <c r="E85" s="105"/>
      <c r="F85" s="105"/>
      <c r="G85" s="133"/>
      <c r="H85" s="107"/>
      <c r="I85" s="104"/>
      <c r="J85" s="102"/>
      <c r="K85" s="108"/>
    </row>
    <row r="86" spans="1:11" s="6" customFormat="1" ht="38.25" customHeight="1">
      <c r="A86" s="15" t="s">
        <v>230</v>
      </c>
      <c r="B86" s="112"/>
      <c r="C86" s="103"/>
      <c r="D86" s="101"/>
      <c r="E86" s="105"/>
      <c r="F86" s="105"/>
      <c r="G86" s="133"/>
      <c r="H86" s="107"/>
      <c r="I86" s="104"/>
      <c r="J86" s="102"/>
      <c r="K86" s="108"/>
    </row>
    <row r="87" spans="1:11" s="6" customFormat="1" ht="38.25" customHeight="1">
      <c r="A87" s="15" t="s">
        <v>231</v>
      </c>
      <c r="B87" s="112"/>
      <c r="C87" s="103"/>
      <c r="D87" s="101"/>
      <c r="E87" s="105"/>
      <c r="F87" s="105"/>
      <c r="G87" s="133"/>
      <c r="H87" s="107"/>
      <c r="I87" s="104"/>
      <c r="J87" s="102"/>
      <c r="K87" s="108"/>
    </row>
    <row r="88" spans="1:11" s="6" customFormat="1" ht="38.25" customHeight="1">
      <c r="A88" s="15" t="s">
        <v>232</v>
      </c>
      <c r="B88" s="112"/>
      <c r="C88" s="103"/>
      <c r="D88" s="101"/>
      <c r="E88" s="105"/>
      <c r="F88" s="105"/>
      <c r="G88" s="133"/>
      <c r="H88" s="107"/>
      <c r="I88" s="104"/>
      <c r="J88" s="102"/>
      <c r="K88" s="108"/>
    </row>
    <row r="89" spans="1:11" s="6" customFormat="1" ht="38.25" customHeight="1">
      <c r="A89" s="15" t="s">
        <v>233</v>
      </c>
      <c r="B89" s="112"/>
      <c r="C89" s="103"/>
      <c r="D89" s="101"/>
      <c r="E89" s="105"/>
      <c r="F89" s="105"/>
      <c r="G89" s="133"/>
      <c r="H89" s="107"/>
      <c r="I89" s="104"/>
      <c r="J89" s="102"/>
      <c r="K89" s="108"/>
    </row>
    <row r="90" spans="1:11" s="6" customFormat="1" ht="38.25" customHeight="1">
      <c r="A90" s="15" t="s">
        <v>234</v>
      </c>
      <c r="B90" s="112"/>
      <c r="C90" s="103"/>
      <c r="D90" s="101"/>
      <c r="E90" s="105"/>
      <c r="F90" s="105"/>
      <c r="G90" s="133"/>
      <c r="H90" s="107"/>
      <c r="I90" s="104"/>
      <c r="J90" s="102"/>
      <c r="K90" s="108"/>
    </row>
    <row r="91" spans="1:11" s="6" customFormat="1" ht="38.25" customHeight="1">
      <c r="A91" s="15" t="s">
        <v>235</v>
      </c>
      <c r="B91" s="112"/>
      <c r="C91" s="103"/>
      <c r="D91" s="101"/>
      <c r="E91" s="105"/>
      <c r="F91" s="105"/>
      <c r="G91" s="133"/>
      <c r="H91" s="107"/>
      <c r="I91" s="104"/>
      <c r="J91" s="102"/>
      <c r="K91" s="108"/>
    </row>
    <row r="92" spans="1:11" s="6" customFormat="1" ht="38.25" customHeight="1">
      <c r="A92" s="15" t="s">
        <v>236</v>
      </c>
      <c r="B92" s="112"/>
      <c r="C92" s="103"/>
      <c r="D92" s="101"/>
      <c r="E92" s="105"/>
      <c r="F92" s="105"/>
      <c r="G92" s="133"/>
      <c r="H92" s="107"/>
      <c r="I92" s="104"/>
      <c r="J92" s="102"/>
      <c r="K92" s="108"/>
    </row>
    <row r="93" spans="1:11" s="6" customFormat="1" ht="38.25" customHeight="1">
      <c r="A93" s="15" t="s">
        <v>237</v>
      </c>
      <c r="B93" s="112"/>
      <c r="C93" s="103"/>
      <c r="D93" s="101"/>
      <c r="E93" s="105"/>
      <c r="F93" s="105"/>
      <c r="G93" s="133"/>
      <c r="H93" s="107"/>
      <c r="I93" s="104"/>
      <c r="J93" s="102"/>
      <c r="K93" s="108"/>
    </row>
    <row r="94" spans="1:11" s="6" customFormat="1" ht="38.25" customHeight="1">
      <c r="A94" s="15" t="s">
        <v>238</v>
      </c>
      <c r="B94" s="112"/>
      <c r="C94" s="103"/>
      <c r="D94" s="101"/>
      <c r="E94" s="105"/>
      <c r="F94" s="105"/>
      <c r="G94" s="133"/>
      <c r="H94" s="107"/>
      <c r="I94" s="104"/>
      <c r="J94" s="102"/>
      <c r="K94" s="108"/>
    </row>
    <row r="95" spans="1:11" s="6" customFormat="1" ht="38.25" customHeight="1">
      <c r="A95" s="15" t="s">
        <v>239</v>
      </c>
      <c r="B95" s="112"/>
      <c r="C95" s="103"/>
      <c r="D95" s="101"/>
      <c r="E95" s="105"/>
      <c r="F95" s="105"/>
      <c r="G95" s="133"/>
      <c r="H95" s="107"/>
      <c r="I95" s="104"/>
      <c r="J95" s="102"/>
      <c r="K95" s="108"/>
    </row>
    <row r="96" spans="1:11" s="6" customFormat="1" ht="38.25" customHeight="1">
      <c r="A96" s="15" t="s">
        <v>240</v>
      </c>
      <c r="B96" s="112"/>
      <c r="C96" s="103"/>
      <c r="D96" s="101"/>
      <c r="E96" s="105"/>
      <c r="F96" s="105"/>
      <c r="G96" s="133"/>
      <c r="H96" s="107"/>
      <c r="I96" s="104"/>
      <c r="J96" s="102"/>
      <c r="K96" s="108"/>
    </row>
    <row r="97" spans="1:11" s="6" customFormat="1" ht="38.25" customHeight="1">
      <c r="A97" s="15" t="s">
        <v>241</v>
      </c>
      <c r="B97" s="112"/>
      <c r="C97" s="103"/>
      <c r="D97" s="101"/>
      <c r="E97" s="105"/>
      <c r="F97" s="105"/>
      <c r="G97" s="133"/>
      <c r="H97" s="107"/>
      <c r="I97" s="104"/>
      <c r="J97" s="102"/>
      <c r="K97" s="108"/>
    </row>
    <row r="98" spans="1:11" s="6" customFormat="1" ht="38.25" customHeight="1">
      <c r="A98" s="15" t="s">
        <v>242</v>
      </c>
      <c r="B98" s="112"/>
      <c r="C98" s="103"/>
      <c r="D98" s="101"/>
      <c r="E98" s="105"/>
      <c r="F98" s="105"/>
      <c r="G98" s="133"/>
      <c r="H98" s="107"/>
      <c r="I98" s="104"/>
      <c r="J98" s="102"/>
      <c r="K98" s="108"/>
    </row>
    <row r="99" spans="1:11" s="6" customFormat="1" ht="38.25" customHeight="1">
      <c r="A99" s="15" t="s">
        <v>243</v>
      </c>
      <c r="B99" s="112"/>
      <c r="C99" s="103"/>
      <c r="D99" s="101"/>
      <c r="E99" s="105"/>
      <c r="F99" s="105"/>
      <c r="G99" s="133"/>
      <c r="H99" s="107"/>
      <c r="I99" s="104"/>
      <c r="J99" s="102"/>
      <c r="K99" s="108"/>
    </row>
    <row r="100" spans="1:11" s="6" customFormat="1" ht="38.25" customHeight="1">
      <c r="A100" s="15" t="s">
        <v>244</v>
      </c>
      <c r="B100" s="112"/>
      <c r="C100" s="103"/>
      <c r="D100" s="101"/>
      <c r="E100" s="105"/>
      <c r="F100" s="105"/>
      <c r="G100" s="133"/>
      <c r="H100" s="107"/>
      <c r="I100" s="104"/>
      <c r="J100" s="102"/>
      <c r="K100" s="108"/>
    </row>
    <row r="101" spans="1:11" s="6" customFormat="1" ht="38.25" customHeight="1">
      <c r="A101" s="15" t="s">
        <v>245</v>
      </c>
      <c r="B101" s="112"/>
      <c r="C101" s="103"/>
      <c r="D101" s="101"/>
      <c r="E101" s="105"/>
      <c r="F101" s="105"/>
      <c r="G101" s="133"/>
      <c r="H101" s="107"/>
      <c r="I101" s="104"/>
      <c r="J101" s="102"/>
      <c r="K101" s="108"/>
    </row>
    <row r="102" spans="1:11" s="6" customFormat="1" ht="38.25" customHeight="1">
      <c r="A102" s="15" t="s">
        <v>246</v>
      </c>
      <c r="B102" s="112"/>
      <c r="C102" s="103"/>
      <c r="D102" s="101"/>
      <c r="E102" s="105"/>
      <c r="F102" s="105"/>
      <c r="G102" s="133"/>
      <c r="H102" s="107"/>
      <c r="I102" s="104"/>
      <c r="J102" s="102"/>
      <c r="K102" s="108"/>
    </row>
    <row r="103" spans="1:11" s="6" customFormat="1" ht="38.25" customHeight="1">
      <c r="A103" s="15" t="s">
        <v>247</v>
      </c>
      <c r="B103" s="112"/>
      <c r="C103" s="103"/>
      <c r="D103" s="101"/>
      <c r="E103" s="105"/>
      <c r="F103" s="105"/>
      <c r="G103" s="133"/>
      <c r="H103" s="107"/>
      <c r="I103" s="104"/>
      <c r="J103" s="102"/>
      <c r="K103" s="108"/>
    </row>
    <row r="104" spans="1:11" s="6" customFormat="1" ht="38.25" customHeight="1">
      <c r="A104" s="15" t="s">
        <v>248</v>
      </c>
      <c r="B104" s="112"/>
      <c r="C104" s="103"/>
      <c r="D104" s="101"/>
      <c r="E104" s="105"/>
      <c r="F104" s="105"/>
      <c r="G104" s="133"/>
      <c r="H104" s="107"/>
      <c r="I104" s="104"/>
      <c r="J104" s="102"/>
      <c r="K104" s="108"/>
    </row>
    <row r="105" spans="1:11" s="6" customFormat="1" ht="38.25" customHeight="1">
      <c r="A105" s="15" t="s">
        <v>249</v>
      </c>
      <c r="B105" s="112"/>
      <c r="C105" s="103"/>
      <c r="D105" s="101"/>
      <c r="E105" s="105"/>
      <c r="F105" s="105"/>
      <c r="G105" s="133"/>
      <c r="H105" s="107"/>
      <c r="I105" s="104"/>
      <c r="J105" s="102"/>
      <c r="K105" s="108"/>
    </row>
    <row r="106" spans="1:11" s="6" customFormat="1" ht="38.25" customHeight="1">
      <c r="A106" s="15" t="s">
        <v>250</v>
      </c>
      <c r="B106" s="112"/>
      <c r="C106" s="103"/>
      <c r="D106" s="101"/>
      <c r="E106" s="105"/>
      <c r="F106" s="105"/>
      <c r="G106" s="133"/>
      <c r="H106" s="107"/>
      <c r="I106" s="104"/>
      <c r="J106" s="102"/>
      <c r="K106" s="108"/>
    </row>
    <row r="107" spans="1:11" s="6" customFormat="1" ht="38.25" customHeight="1">
      <c r="A107" s="15" t="s">
        <v>251</v>
      </c>
      <c r="B107" s="112"/>
      <c r="C107" s="103"/>
      <c r="D107" s="101"/>
      <c r="E107" s="105"/>
      <c r="F107" s="105"/>
      <c r="G107" s="133"/>
      <c r="H107" s="107"/>
      <c r="I107" s="104"/>
      <c r="J107" s="102"/>
      <c r="K107" s="108"/>
    </row>
    <row r="108" spans="1:11" s="6" customFormat="1" ht="38.25" customHeight="1">
      <c r="A108" s="15" t="s">
        <v>252</v>
      </c>
      <c r="B108" s="112"/>
      <c r="C108" s="103"/>
      <c r="D108" s="101"/>
      <c r="E108" s="105"/>
      <c r="F108" s="105"/>
      <c r="G108" s="133"/>
      <c r="H108" s="107"/>
      <c r="I108" s="104"/>
      <c r="J108" s="102"/>
      <c r="K108" s="108"/>
    </row>
    <row r="109" spans="1:11" ht="27" customHeight="1">
      <c r="A109" s="12"/>
      <c r="B109" s="12"/>
      <c r="C109" s="12"/>
      <c r="D109" s="12"/>
      <c r="E109" s="12"/>
      <c r="F109" s="12"/>
      <c r="G109" s="12"/>
      <c r="H109" s="13"/>
    </row>
    <row r="110" spans="1:11" ht="48" customHeight="1">
      <c r="A110" s="178" t="s">
        <v>95</v>
      </c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spans="1:11" ht="27" customHeight="1"/>
  </sheetData>
  <sheetProtection algorithmName="SHA-512" hashValue="O/RUzQ4YxbxSUTorLWnvTMMKWB4alKTAzYYzse2LPQIthlEPxlv3k0tlZKDce7Gqxd736YWJm6+VCE/bmmx3rw==" saltValue="sI2eWXyL/aDQHKvm8luHWQ==" spinCount="100000" sheet="1"/>
  <dataConsolidate/>
  <mergeCells count="12">
    <mergeCell ref="A110:K110"/>
    <mergeCell ref="A7:K7"/>
    <mergeCell ref="A5:B5"/>
    <mergeCell ref="A4:B4"/>
    <mergeCell ref="A3:B3"/>
    <mergeCell ref="A6:B6"/>
    <mergeCell ref="J1:K4"/>
    <mergeCell ref="G1:G2"/>
    <mergeCell ref="H1:I2"/>
    <mergeCell ref="A1:F2"/>
    <mergeCell ref="D5:G6"/>
    <mergeCell ref="C4:G4"/>
  </mergeCells>
  <phoneticPr fontId="25" type="noConversion"/>
  <dataValidations count="13">
    <dataValidation type="list" allowBlank="1" showInputMessage="1" showErrorMessage="1" sqref="G3" xr:uid="{334255BB-EC4E-4155-AB89-EA3FC4B3B7FC}">
      <formula1>$P$3:$P$4</formula1>
    </dataValidation>
    <dataValidation type="list" allowBlank="1" showInputMessage="1" showErrorMessage="1" sqref="E3" xr:uid="{316E5E02-7F5F-48BE-90CE-8F616B7D9BB9}">
      <formula1>$P$6:$P$7</formula1>
    </dataValidation>
    <dataValidation type="list" allowBlank="1" showInputMessage="1" showErrorMessage="1" sqref="I5" xr:uid="{8B3CE12D-7E4F-42D9-8A83-28338EB247C3}">
      <formula1>$S$3:$S$4</formula1>
    </dataValidation>
    <dataValidation type="decimal" operator="greaterThan" allowBlank="1" showInputMessage="1" showErrorMessage="1" error="Digite apenas números" sqref="I32:I108" xr:uid="{9E17F64E-6BCC-4B51-BC5A-8295A3F9E641}">
      <formula1>0</formula1>
    </dataValidation>
    <dataValidation type="whole" operator="greaterThan" allowBlank="1" showInputMessage="1" showErrorMessage="1" error="Pr favor, digite apenas números." sqref="H32:H108" xr:uid="{8EF7E71E-B9E7-481F-8CE0-9DB0A867EDFB}">
      <formula1>0</formula1>
    </dataValidation>
    <dataValidation type="custom" allowBlank="1" showInputMessage="1" showErrorMessage="1" error="Por favor, digite no formato: DDMMAAAA ou DD/MM/AAAA ou DD/MM/AA" sqref="E32:F108" xr:uid="{195DFE7D-F3D7-46B6-9F8B-5361EDACAB25}">
      <formula1>OR(ISNUMBER(VALUE(E32)),AND(MID(E32, 3, 1) = "/",MID(E32, 6, 1) = "/"))</formula1>
    </dataValidation>
    <dataValidation type="whole" operator="greaterThan" allowBlank="1" showInputMessage="1" showErrorMessage="1" error="Pr favor, digite apenas números." sqref="K9:K108" xr:uid="{BD48E803-BCB9-4763-AB93-B59C2B3EE1A5}">
      <formula1>999999</formula1>
    </dataValidation>
    <dataValidation type="custom" allowBlank="1" showInputMessage="1" showErrorMessage="1" sqref="B45:B108" xr:uid="{EE92E29D-6230-421B-AA66-CF9EB662F905}">
      <formula1>AND(ISNUMBER(VALUE(B45)),OR(LEN(B45)=14,LEN(B45)=11))</formula1>
    </dataValidation>
    <dataValidation type="custom" allowBlank="1" showInputMessage="1" showErrorMessage="1" sqref="A1:F2" xr:uid="{92652CE1-13A5-4114-ABB4-42F1A563B601}">
      <formula1>AND(ISNUMBER(VALUE(C3)),OR(LEN(C3)=13,LEN(C3)=14))</formula1>
    </dataValidation>
    <dataValidation type="custom" allowBlank="1" showInputMessage="1" showErrorMessage="1" error="Por favor, ditige apenas números." sqref="C3" xr:uid="{B385C883-B33F-4E5D-9212-40C80B32B2EA}">
      <formula1>AND(ISNUMBER(VALUE(C3)),OR(LEN(C3)=13,LEN(C3)=14))</formula1>
    </dataValidation>
    <dataValidation type="custom" allowBlank="1" showInputMessage="1" showErrorMessage="1" error="Pr favor, digite no formato: XXX-XXX" sqref="D9:D108" xr:uid="{4F9BEB25-CF83-4F83-BD4D-B795D1CB5A84}">
      <formula1>ISNUMBER(VALUE(SUBSTITUTE(D9,"-","")))</formula1>
    </dataValidation>
    <dataValidation type="list" allowBlank="1" showInputMessage="1" showErrorMessage="1" sqref="C5" xr:uid="{AE6DD51E-6DF2-4289-93FF-945821C10E51}">
      <formula1>$R$4:$R$12</formula1>
    </dataValidation>
    <dataValidation type="list" allowBlank="1" showInputMessage="1" showErrorMessage="1" sqref="U1" xr:uid="{B6011924-8EEA-46CA-99FB-021BD01DF4D5}">
      <formula1>$S$5:$S$6</formula1>
    </dataValidation>
  </dataValidations>
  <pageMargins left="0" right="0" top="0.19685039370078738" bottom="0" header="0" footer="0"/>
  <pageSetup paperSize="9" scale="36" firstPageNumber="4294967295" orientation="landscape" r:id="rId1"/>
  <ignoredErrors>
    <ignoredError sqref="A9:A10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PrepararEmail">
                <anchor moveWithCells="1" sizeWithCells="1">
                  <from>
                    <xdr:col>6</xdr:col>
                    <xdr:colOff>3009900</xdr:colOff>
                    <xdr:row>7</xdr:row>
                    <xdr:rowOff>742950</xdr:rowOff>
                  </from>
                  <to>
                    <xdr:col>6</xdr:col>
                    <xdr:colOff>4219575</xdr:colOff>
                    <xdr:row>7</xdr:row>
                    <xdr:rowOff>1209675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0465-04E0-41A2-8F7E-BC8B605FD257}">
  <sheetPr codeName="Planilha8"/>
  <dimension ref="A1:AJ3"/>
  <sheetViews>
    <sheetView workbookViewId="0">
      <selection activeCell="A10" sqref="A10"/>
    </sheetView>
  </sheetViews>
  <sheetFormatPr defaultRowHeight="15"/>
  <cols>
    <col min="1" max="1" width="30.140625" customWidth="1"/>
    <col min="2" max="36" width="9.140625" hidden="1" customWidth="1"/>
    <col min="37" max="37" width="11" bestFit="1" customWidth="1"/>
  </cols>
  <sheetData>
    <row r="1" spans="1:6">
      <c r="A1" s="106" t="s">
        <v>146</v>
      </c>
      <c r="B1" s="106"/>
    </row>
    <row r="2" spans="1:6">
      <c r="A2" t="s">
        <v>259</v>
      </c>
      <c r="B2" s="106" t="s">
        <v>260</v>
      </c>
      <c r="C2" t="s">
        <v>261</v>
      </c>
      <c r="D2" t="s">
        <v>262</v>
      </c>
      <c r="E2" t="s">
        <v>263</v>
      </c>
      <c r="F2" t="s">
        <v>264</v>
      </c>
    </row>
    <row r="3" spans="1:6">
      <c r="B3" s="106"/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Button 1">
              <controlPr defaultSize="0" print="0" autoFill="0" autoPict="0" macro="[0]!Enviar">
                <anchor moveWithCells="1" sizeWithCells="1">
                  <from>
                    <xdr:col>0</xdr:col>
                    <xdr:colOff>1295400</xdr:colOff>
                    <xdr:row>0</xdr:row>
                    <xdr:rowOff>0</xdr:rowOff>
                  </from>
                  <to>
                    <xdr:col>0</xdr:col>
                    <xdr:colOff>1905000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Button 2">
              <controlPr defaultSize="0" print="0" autoFill="0" autoPict="0" macro="[0]!EnviarTodos">
                <anchor moveWithCells="1" sizeWithCells="1">
                  <from>
                    <xdr:col>36</xdr:col>
                    <xdr:colOff>38100</xdr:colOff>
                    <xdr:row>0</xdr:row>
                    <xdr:rowOff>19050</xdr:rowOff>
                  </from>
                  <to>
                    <xdr:col>38</xdr:col>
                    <xdr:colOff>19050</xdr:colOff>
                    <xdr:row>1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2FF0-2B62-4644-A529-FD49EF910E63}">
  <sheetPr codeName="Planilha7"/>
  <dimension ref="B2:F11"/>
  <sheetViews>
    <sheetView workbookViewId="0">
      <selection activeCell="M5" sqref="M5"/>
    </sheetView>
  </sheetViews>
  <sheetFormatPr defaultRowHeight="15"/>
  <cols>
    <col min="2" max="2" width="22.42578125" bestFit="1" customWidth="1"/>
    <col min="3" max="3" width="48.7109375" customWidth="1"/>
    <col min="5" max="5" width="19.42578125" bestFit="1" customWidth="1"/>
  </cols>
  <sheetData>
    <row r="2" spans="2:6">
      <c r="B2" s="106" t="s">
        <v>150</v>
      </c>
      <c r="C2" s="106" t="str">
        <f ca="1">"Borderô "&amp;Bordero!C4&amp;" - "&amp;TEXT(TODAY(),"dd/mm/aaaa")</f>
        <v>Borderô LOGMA ENGENHARIA INDUSTRIAL LTDA - 26/06/2026</v>
      </c>
      <c r="E2" s="109" t="s">
        <v>153</v>
      </c>
      <c r="F2">
        <v>9</v>
      </c>
    </row>
    <row r="3" spans="2:6">
      <c r="B3" s="106" t="s">
        <v>152</v>
      </c>
      <c r="C3" s="106" t="e" vm="1">
        <f ca="1">"Olá, &lt;br&gt;&lt;br&gt; Somos da empresa C4 Capital Securitizadora S/A e estamos efetuando uma operação de desconto de títulos junto ao seu fornecedor "&amp;Bordero!C4&amp;", CNPJ "&amp;TEXT(Bordero!C3, "00\.000\.000\/0000\-00")&amp;_xlfn._LONGTEXT(". Por gentileza confirme se o pedido foi realizado ou os produtos/serviços já se encontram entregues e conceda o de acordo com a compra dos títulos abaixo relacionados. Após sua confirmação, informamos que o título em questão será cedido à nossa empresa e"," deverá(ão) ser quitado(s) exclusivamente à C4 Securitizadora S/A, CNPJ 48.497.834/0001-80, por meio do(s) boleto(s) bancário(s) a ser enviado. &lt;br&gt;&lt;br&gt;")</f>
        <v>#NAME?</v>
      </c>
      <c r="E3" s="109" t="s">
        <v>155</v>
      </c>
      <c r="F3">
        <v>108</v>
      </c>
    </row>
    <row r="4" spans="2:6">
      <c r="B4" s="106" t="s">
        <v>151</v>
      </c>
      <c r="C4" t="str">
        <f>"&lt;br&gt;&lt;br&gt;Aguardamos seu retorno e aproveitamos a oportunidade de nos colocarmos a disposição de sua empresa quanto à prestação de nossos serviços.&lt;br&gt;&lt;br&gt;"</f>
        <v>&lt;br&gt;&lt;br&gt;Aguardamos seu retorno e aproveitamos a oportunidade de nos colocarmos a disposição de sua empresa quanto à prestação de nossos serviços.&lt;br&gt;&lt;br&gt;</v>
      </c>
      <c r="E4" s="109" t="s">
        <v>154</v>
      </c>
      <c r="F4">
        <v>2</v>
      </c>
    </row>
    <row r="7" spans="2:6">
      <c r="B7" s="132" t="s">
        <v>173</v>
      </c>
      <c r="C7" s="132" t="s">
        <v>178</v>
      </c>
    </row>
    <row r="8" spans="2:6">
      <c r="B8" s="132" t="s">
        <v>174</v>
      </c>
      <c r="C8" s="132" t="s">
        <v>178</v>
      </c>
    </row>
    <row r="9" spans="2:6">
      <c r="B9" s="132" t="s">
        <v>175</v>
      </c>
      <c r="C9" s="132" t="s">
        <v>178</v>
      </c>
    </row>
    <row r="10" spans="2:6">
      <c r="B10" s="132" t="s">
        <v>176</v>
      </c>
      <c r="C10" s="132" t="s">
        <v>178</v>
      </c>
    </row>
    <row r="11" spans="2:6">
      <c r="B11" s="132" t="s">
        <v>177</v>
      </c>
      <c r="C11" s="132" t="s">
        <v>178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6052-D814-420B-B78D-D31487C9F95B}">
  <sheetPr codeName="Planilha2"/>
  <dimension ref="A1:I101"/>
  <sheetViews>
    <sheetView topLeftCell="D1" zoomScale="70" zoomScaleNormal="70" workbookViewId="0">
      <selection activeCell="M5" sqref="M5"/>
    </sheetView>
  </sheetViews>
  <sheetFormatPr defaultRowHeight="15"/>
  <cols>
    <col min="1" max="1" width="23" customWidth="1"/>
    <col min="2" max="2" width="72.140625" customWidth="1"/>
    <col min="3" max="3" width="13.85546875" bestFit="1" customWidth="1"/>
    <col min="4" max="4" width="16.28515625" bestFit="1" customWidth="1"/>
    <col min="5" max="5" width="16.85546875" bestFit="1" customWidth="1"/>
    <col min="6" max="6" width="53.28515625" style="7" bestFit="1" customWidth="1"/>
    <col min="7" max="7" width="19.140625" bestFit="1" customWidth="1"/>
    <col min="8" max="8" width="18.5703125" bestFit="1" customWidth="1"/>
    <col min="9" max="9" width="75.42578125" customWidth="1"/>
  </cols>
  <sheetData>
    <row r="1" spans="1:9" s="6" customFormat="1" ht="31.5">
      <c r="A1" s="8" t="str">
        <f>LEFT(Bordero!B8, FIND(CHAR(10), Bordero!B8) - 1)</f>
        <v>CPF /CNPJ</v>
      </c>
      <c r="B1" s="8" t="str">
        <f>Bordero!C8</f>
        <v>RAZÃO SOCIAL DO SACADO</v>
      </c>
      <c r="C1" s="8" t="str">
        <f>LEFT(Bordero!D8, FIND(CHAR(10), Bordero!D8) - 1)</f>
        <v>N.TÍTULO</v>
      </c>
      <c r="D1" s="8" t="str">
        <f>LEFT(Bordero!E8, FIND(CHAR(10), Bordero!E8) - 1)</f>
        <v>DT EMISSÃO</v>
      </c>
      <c r="E1" s="8" t="str">
        <f>LEFT(Bordero!F8, FIND(CHAR(10), Bordero!F8) - 1)</f>
        <v>VENCIMENTO</v>
      </c>
      <c r="F1" s="8" t="str">
        <f>Bordero!G8</f>
        <v>E-MAIL</v>
      </c>
      <c r="G1" s="8" t="str">
        <f>LEFT(Bordero!H8, FIND(" ", Bordero!H8) - 1)</f>
        <v>TELEFONE</v>
      </c>
      <c r="H1" s="8" t="str">
        <f>Bordero!I8</f>
        <v>VALOR R$</v>
      </c>
      <c r="I1" s="8" t="str">
        <f>Bordero!J8</f>
        <v>CHAVE XML</v>
      </c>
    </row>
    <row r="2" spans="1:9" s="3" customFormat="1" ht="18.75">
      <c r="A2" s="66" t="str">
        <f>IF(Bordero!B9="","",Bordero!B9)</f>
        <v>42422048000219</v>
      </c>
      <c r="B2" s="66" t="str">
        <f>IF(Bordero!B9="","",Bordero!C9)</f>
        <v>MINERACAO AURIZONA EQUINOX GOLD</v>
      </c>
      <c r="C2" s="67" t="str">
        <f>IF(Bordero!B9="","",Bordero!D9)</f>
        <v>145-001</v>
      </c>
      <c r="D2" s="4" t="str">
        <f>IF(Bordero!B9="","",Bordero!E9)</f>
        <v>09/06/2026</v>
      </c>
      <c r="E2" s="4" t="str">
        <f>IF(Bordero!B9="","",Bordero!F9)</f>
        <v>08/07/2026</v>
      </c>
      <c r="F2" s="70" t="str">
        <f>IF(Bordero!G9="","",Bordero!G9)</f>
        <v/>
      </c>
      <c r="G2" s="68" t="str">
        <f>IF(Bordero!H9="","",Bordero!H9)</f>
        <v/>
      </c>
      <c r="H2" s="71">
        <f>IF(Bordero!B9="","",Bordero!I9)</f>
        <v>50000</v>
      </c>
      <c r="I2" s="69" t="str">
        <f>IF(Bordero!J9="","",Bordero!J9)</f>
        <v/>
      </c>
    </row>
    <row r="3" spans="1:9" s="3" customFormat="1" ht="18.75">
      <c r="A3" s="66" t="str">
        <f>IF(Bordero!B10="","",Bordero!B10)</f>
        <v/>
      </c>
      <c r="B3" s="66" t="str">
        <f>IF(Bordero!B10="","",Bordero!C10)</f>
        <v/>
      </c>
      <c r="C3" s="67" t="str">
        <f>IF(Bordero!B10="","",Bordero!D10)</f>
        <v/>
      </c>
      <c r="D3" s="4" t="str">
        <f>IF(Bordero!B10="","",Bordero!E10)</f>
        <v/>
      </c>
      <c r="E3" s="4" t="str">
        <f>IF(Bordero!B10="","",Bordero!F10)</f>
        <v/>
      </c>
      <c r="F3" s="70" t="str">
        <f>IF(Bordero!G10="","",Bordero!G10)</f>
        <v/>
      </c>
      <c r="G3" s="68" t="str">
        <f>IF(Bordero!H10="","",Bordero!H10)</f>
        <v/>
      </c>
      <c r="H3" s="71" t="str">
        <f>IF(Bordero!B10="","",Bordero!I10)</f>
        <v/>
      </c>
      <c r="I3" s="69" t="str">
        <f>IF(Bordero!J10="","",Bordero!J10)</f>
        <v/>
      </c>
    </row>
    <row r="4" spans="1:9" s="3" customFormat="1" ht="18.75">
      <c r="A4" s="66" t="str">
        <f>IF(Bordero!B11="","",Bordero!B11)</f>
        <v/>
      </c>
      <c r="B4" s="66" t="str">
        <f>IF(Bordero!B11="","",Bordero!C11)</f>
        <v/>
      </c>
      <c r="C4" s="67" t="str">
        <f>IF(Bordero!B11="","",Bordero!D11)</f>
        <v/>
      </c>
      <c r="D4" s="4" t="str">
        <f>IF(Bordero!B11="","",Bordero!E11)</f>
        <v/>
      </c>
      <c r="E4" s="4" t="str">
        <f>IF(Bordero!B11="","",Bordero!F11)</f>
        <v/>
      </c>
      <c r="F4" s="70" t="str">
        <f>IF(Bordero!G11="","",Bordero!G11)</f>
        <v/>
      </c>
      <c r="G4" s="68" t="str">
        <f>IF(Bordero!H11="","",Bordero!H11)</f>
        <v/>
      </c>
      <c r="H4" s="71" t="str">
        <f>IF(Bordero!B11="","",Bordero!I11)</f>
        <v/>
      </c>
      <c r="I4" s="69" t="str">
        <f>IF(Bordero!J11="","",Bordero!J11)</f>
        <v/>
      </c>
    </row>
    <row r="5" spans="1:9" s="3" customFormat="1" ht="18.75">
      <c r="A5" s="66" t="str">
        <f>IF(Bordero!B12="","",Bordero!B12)</f>
        <v/>
      </c>
      <c r="B5" s="66" t="str">
        <f>IF(Bordero!B12="","",Bordero!C12)</f>
        <v/>
      </c>
      <c r="C5" s="67" t="str">
        <f>IF(Bordero!B12="","",Bordero!D12)</f>
        <v/>
      </c>
      <c r="D5" s="4" t="str">
        <f>IF(Bordero!B12="","",Bordero!E12)</f>
        <v/>
      </c>
      <c r="E5" s="4" t="str">
        <f>IF(Bordero!B12="","",Bordero!F12)</f>
        <v/>
      </c>
      <c r="F5" s="70" t="str">
        <f>IF(Bordero!G12="","",Bordero!G12)</f>
        <v/>
      </c>
      <c r="G5" s="68" t="str">
        <f>IF(Bordero!H12="","",Bordero!H12)</f>
        <v/>
      </c>
      <c r="H5" s="71" t="str">
        <f>IF(Bordero!B12="","",Bordero!I12)</f>
        <v/>
      </c>
      <c r="I5" s="69" t="str">
        <f>IF(Bordero!J12="","",Bordero!J12)</f>
        <v/>
      </c>
    </row>
    <row r="6" spans="1:9" s="3" customFormat="1" ht="18.75">
      <c r="A6" s="66" t="str">
        <f>IF(Bordero!B13="","",Bordero!B13)</f>
        <v/>
      </c>
      <c r="B6" s="66" t="str">
        <f>IF(Bordero!B13="","",Bordero!C13)</f>
        <v/>
      </c>
      <c r="C6" s="67" t="str">
        <f>IF(Bordero!B13="","",Bordero!D13)</f>
        <v/>
      </c>
      <c r="D6" s="4" t="str">
        <f>IF(Bordero!B13="","",Bordero!E13)</f>
        <v/>
      </c>
      <c r="E6" s="4" t="str">
        <f>IF(Bordero!B13="","",Bordero!F13)</f>
        <v/>
      </c>
      <c r="F6" s="70" t="str">
        <f>IF(Bordero!G13="","",Bordero!G13)</f>
        <v/>
      </c>
      <c r="G6" s="68" t="str">
        <f>IF(Bordero!H13="","",Bordero!H13)</f>
        <v/>
      </c>
      <c r="H6" s="71" t="str">
        <f>IF(Bordero!B13="","",Bordero!I13)</f>
        <v/>
      </c>
      <c r="I6" s="69" t="str">
        <f>IF(Bordero!J13="","",Bordero!J13)</f>
        <v/>
      </c>
    </row>
    <row r="7" spans="1:9" s="3" customFormat="1" ht="18.75">
      <c r="A7" s="66" t="str">
        <f>IF(Bordero!B14="","",Bordero!B14)</f>
        <v/>
      </c>
      <c r="B7" s="66" t="str">
        <f>IF(Bordero!B14="","",Bordero!C14)</f>
        <v/>
      </c>
      <c r="C7" s="67" t="str">
        <f>IF(Bordero!B14="","",Bordero!D14)</f>
        <v/>
      </c>
      <c r="D7" s="4" t="str">
        <f>IF(Bordero!B14="","",Bordero!E14)</f>
        <v/>
      </c>
      <c r="E7" s="4" t="str">
        <f>IF(Bordero!B14="","",Bordero!F14)</f>
        <v/>
      </c>
      <c r="F7" s="70" t="str">
        <f>IF(Bordero!G14="","",Bordero!G14)</f>
        <v/>
      </c>
      <c r="G7" s="68" t="str">
        <f>IF(Bordero!H14="","",Bordero!H14)</f>
        <v/>
      </c>
      <c r="H7" s="71" t="str">
        <f>IF(Bordero!B14="","",Bordero!I14)</f>
        <v/>
      </c>
      <c r="I7" s="69" t="str">
        <f>IF(Bordero!J14="","",Bordero!J14)</f>
        <v/>
      </c>
    </row>
    <row r="8" spans="1:9" s="3" customFormat="1" ht="18.75">
      <c r="A8" s="66" t="str">
        <f>IF(Bordero!B15="","",Bordero!B15)</f>
        <v/>
      </c>
      <c r="B8" s="66" t="str">
        <f>IF(Bordero!B15="","",Bordero!C15)</f>
        <v/>
      </c>
      <c r="C8" s="67" t="str">
        <f>IF(Bordero!B15="","",Bordero!D15)</f>
        <v/>
      </c>
      <c r="D8" s="4" t="str">
        <f>IF(Bordero!B15="","",Bordero!E15)</f>
        <v/>
      </c>
      <c r="E8" s="4" t="str">
        <f>IF(Bordero!B15="","",Bordero!F15)</f>
        <v/>
      </c>
      <c r="F8" s="70" t="str">
        <f>IF(Bordero!G15="","",Bordero!G15)</f>
        <v/>
      </c>
      <c r="G8" s="68" t="str">
        <f>IF(Bordero!H15="","",Bordero!H15)</f>
        <v/>
      </c>
      <c r="H8" s="71" t="str">
        <f>IF(Bordero!B15="","",Bordero!I15)</f>
        <v/>
      </c>
      <c r="I8" s="69" t="str">
        <f>IF(Bordero!J15="","",Bordero!J15)</f>
        <v/>
      </c>
    </row>
    <row r="9" spans="1:9" s="3" customFormat="1" ht="18.75">
      <c r="A9" s="66" t="str">
        <f>IF(Bordero!B16="","",Bordero!B16)</f>
        <v/>
      </c>
      <c r="B9" s="66" t="str">
        <f>IF(Bordero!B16="","",Bordero!C16)</f>
        <v/>
      </c>
      <c r="C9" s="67" t="str">
        <f>IF(Bordero!B16="","",Bordero!D16)</f>
        <v/>
      </c>
      <c r="D9" s="4" t="str">
        <f>IF(Bordero!B16="","",Bordero!E16)</f>
        <v/>
      </c>
      <c r="E9" s="4" t="str">
        <f>IF(Bordero!B16="","",Bordero!F16)</f>
        <v/>
      </c>
      <c r="F9" s="70" t="str">
        <f>IF(Bordero!G16="","",Bordero!G16)</f>
        <v/>
      </c>
      <c r="G9" s="68" t="str">
        <f>IF(Bordero!H16="","",Bordero!H16)</f>
        <v/>
      </c>
      <c r="H9" s="71" t="str">
        <f>IF(Bordero!B16="","",Bordero!I16)</f>
        <v/>
      </c>
      <c r="I9" s="69" t="str">
        <f>IF(Bordero!J16="","",Bordero!J16)</f>
        <v/>
      </c>
    </row>
    <row r="10" spans="1:9" s="3" customFormat="1" ht="18.75">
      <c r="A10" s="66" t="str">
        <f>IF(Bordero!B17="","",Bordero!B17)</f>
        <v/>
      </c>
      <c r="B10" s="66" t="str">
        <f>IF(Bordero!B17="","",Bordero!C17)</f>
        <v/>
      </c>
      <c r="C10" s="67" t="str">
        <f>IF(Bordero!B17="","",Bordero!D17)</f>
        <v/>
      </c>
      <c r="D10" s="4" t="str">
        <f>IF(Bordero!B17="","",Bordero!E17)</f>
        <v/>
      </c>
      <c r="E10" s="4" t="str">
        <f>IF(Bordero!B17="","",Bordero!F17)</f>
        <v/>
      </c>
      <c r="F10" s="70" t="str">
        <f>IF(Bordero!G17="","",Bordero!G17)</f>
        <v/>
      </c>
      <c r="G10" s="68" t="str">
        <f>IF(Bordero!H17="","",Bordero!H17)</f>
        <v/>
      </c>
      <c r="H10" s="71" t="str">
        <f>IF(Bordero!B17="","",Bordero!I17)</f>
        <v/>
      </c>
      <c r="I10" s="69" t="str">
        <f>IF(Bordero!J17="","",Bordero!J17)</f>
        <v/>
      </c>
    </row>
    <row r="11" spans="1:9" s="3" customFormat="1" ht="18.75">
      <c r="A11" s="66" t="str">
        <f>IF(Bordero!B18="","",Bordero!B18)</f>
        <v/>
      </c>
      <c r="B11" s="66" t="str">
        <f>IF(Bordero!B18="","",Bordero!C18)</f>
        <v/>
      </c>
      <c r="C11" s="67" t="str">
        <f>IF(Bordero!B18="","",Bordero!D18)</f>
        <v/>
      </c>
      <c r="D11" s="4" t="str">
        <f>IF(Bordero!B18="","",Bordero!E18)</f>
        <v/>
      </c>
      <c r="E11" s="4" t="str">
        <f>IF(Bordero!B18="","",Bordero!F18)</f>
        <v/>
      </c>
      <c r="F11" s="70" t="str">
        <f>IF(Bordero!G18="","",Bordero!G18)</f>
        <v/>
      </c>
      <c r="G11" s="68" t="str">
        <f>IF(Bordero!H18="","",Bordero!H18)</f>
        <v/>
      </c>
      <c r="H11" s="71" t="str">
        <f>IF(Bordero!B18="","",Bordero!I18)</f>
        <v/>
      </c>
      <c r="I11" s="69" t="str">
        <f>IF(Bordero!J18="","",Bordero!J18)</f>
        <v/>
      </c>
    </row>
    <row r="12" spans="1:9" s="3" customFormat="1" ht="18.75">
      <c r="A12" s="66" t="str">
        <f>IF(Bordero!B19="","",Bordero!B19)</f>
        <v/>
      </c>
      <c r="B12" s="66" t="str">
        <f>IF(Bordero!B19="","",Bordero!C19)</f>
        <v/>
      </c>
      <c r="C12" s="67" t="str">
        <f>IF(Bordero!B19="","",Bordero!D19)</f>
        <v/>
      </c>
      <c r="D12" s="4" t="str">
        <f>IF(Bordero!B19="","",Bordero!E19)</f>
        <v/>
      </c>
      <c r="E12" s="4" t="str">
        <f>IF(Bordero!B19="","",Bordero!F19)</f>
        <v/>
      </c>
      <c r="F12" s="70" t="str">
        <f>IF(Bordero!G19="","",Bordero!G19)</f>
        <v/>
      </c>
      <c r="G12" s="68" t="str">
        <f>IF(Bordero!H19="","",Bordero!H19)</f>
        <v/>
      </c>
      <c r="H12" s="71" t="str">
        <f>IF(Bordero!B19="","",Bordero!I19)</f>
        <v/>
      </c>
      <c r="I12" s="69" t="str">
        <f>IF(Bordero!J19="","",Bordero!J19)</f>
        <v/>
      </c>
    </row>
    <row r="13" spans="1:9" s="3" customFormat="1" ht="18.75">
      <c r="A13" s="66" t="str">
        <f>IF(Bordero!B20="","",Bordero!B20)</f>
        <v/>
      </c>
      <c r="B13" s="66" t="str">
        <f>IF(Bordero!B20="","",Bordero!C20)</f>
        <v/>
      </c>
      <c r="C13" s="67" t="str">
        <f>IF(Bordero!B20="","",Bordero!D20)</f>
        <v/>
      </c>
      <c r="D13" s="4" t="str">
        <f>IF(Bordero!B20="","",Bordero!E20)</f>
        <v/>
      </c>
      <c r="E13" s="4" t="str">
        <f>IF(Bordero!B20="","",Bordero!F20)</f>
        <v/>
      </c>
      <c r="F13" s="70" t="str">
        <f>IF(Bordero!G20="","",Bordero!G20)</f>
        <v/>
      </c>
      <c r="G13" s="68" t="str">
        <f>IF(Bordero!H20="","",Bordero!H20)</f>
        <v/>
      </c>
      <c r="H13" s="71" t="str">
        <f>IF(Bordero!B20="","",Bordero!I20)</f>
        <v/>
      </c>
      <c r="I13" s="69" t="str">
        <f>IF(Bordero!J20="","",Bordero!J20)</f>
        <v/>
      </c>
    </row>
    <row r="14" spans="1:9" s="3" customFormat="1" ht="18.75">
      <c r="A14" s="66" t="str">
        <f>IF(Bordero!B21="","",Bordero!B21)</f>
        <v/>
      </c>
      <c r="B14" s="66" t="str">
        <f>IF(Bordero!B21="","",Bordero!C21)</f>
        <v/>
      </c>
      <c r="C14" s="67" t="str">
        <f>IF(Bordero!B21="","",Bordero!D21)</f>
        <v/>
      </c>
      <c r="D14" s="4" t="str">
        <f>IF(Bordero!B21="","",Bordero!E21)</f>
        <v/>
      </c>
      <c r="E14" s="4" t="str">
        <f>IF(Bordero!B21="","",Bordero!F21)</f>
        <v/>
      </c>
      <c r="F14" s="70" t="str">
        <f>IF(Bordero!G21="","",Bordero!G21)</f>
        <v/>
      </c>
      <c r="G14" s="68" t="str">
        <f>IF(Bordero!H21="","",Bordero!H21)</f>
        <v/>
      </c>
      <c r="H14" s="71" t="str">
        <f>IF(Bordero!B21="","",Bordero!I21)</f>
        <v/>
      </c>
      <c r="I14" s="69" t="str">
        <f>IF(Bordero!J21="","",Bordero!J21)</f>
        <v/>
      </c>
    </row>
    <row r="15" spans="1:9" s="3" customFormat="1" ht="18.75">
      <c r="A15" s="66" t="str">
        <f>IF(Bordero!B22="","",Bordero!B22)</f>
        <v/>
      </c>
      <c r="B15" s="66" t="str">
        <f>IF(Bordero!B22="","",Bordero!C22)</f>
        <v/>
      </c>
      <c r="C15" s="67" t="str">
        <f>IF(Bordero!B22="","",Bordero!D22)</f>
        <v/>
      </c>
      <c r="D15" s="4" t="str">
        <f>IF(Bordero!B22="","",Bordero!E22)</f>
        <v/>
      </c>
      <c r="E15" s="4" t="str">
        <f>IF(Bordero!B22="","",Bordero!F22)</f>
        <v/>
      </c>
      <c r="F15" s="70" t="str">
        <f>IF(Bordero!G22="","",Bordero!G22)</f>
        <v/>
      </c>
      <c r="G15" s="68" t="str">
        <f>IF(Bordero!H22="","",Bordero!H22)</f>
        <v/>
      </c>
      <c r="H15" s="71" t="str">
        <f>IF(Bordero!B22="","",Bordero!I22)</f>
        <v/>
      </c>
      <c r="I15" s="69" t="str">
        <f>IF(Bordero!J22="","",Bordero!J22)</f>
        <v/>
      </c>
    </row>
    <row r="16" spans="1:9" s="3" customFormat="1" ht="18.75">
      <c r="A16" s="66" t="str">
        <f>IF(Bordero!B23="","",Bordero!B23)</f>
        <v/>
      </c>
      <c r="B16" s="66" t="str">
        <f>IF(Bordero!B23="","",Bordero!C23)</f>
        <v/>
      </c>
      <c r="C16" s="67" t="str">
        <f>IF(Bordero!B23="","",Bordero!D23)</f>
        <v/>
      </c>
      <c r="D16" s="4" t="str">
        <f>IF(Bordero!B23="","",Bordero!E23)</f>
        <v/>
      </c>
      <c r="E16" s="4" t="str">
        <f>IF(Bordero!B23="","",Bordero!F23)</f>
        <v/>
      </c>
      <c r="F16" s="70" t="str">
        <f>IF(Bordero!G23="","",Bordero!G23)</f>
        <v/>
      </c>
      <c r="G16" s="68" t="str">
        <f>IF(Bordero!H23="","",Bordero!H23)</f>
        <v/>
      </c>
      <c r="H16" s="71" t="str">
        <f>IF(Bordero!B23="","",Bordero!I23)</f>
        <v/>
      </c>
      <c r="I16" s="69" t="str">
        <f>IF(Bordero!J23="","",Bordero!J23)</f>
        <v/>
      </c>
    </row>
    <row r="17" spans="1:9" ht="18.75">
      <c r="A17" s="66" t="str">
        <f>IF(Bordero!B24="","",Bordero!B24)</f>
        <v/>
      </c>
      <c r="B17" s="66" t="str">
        <f>IF(Bordero!B24="","",Bordero!C24)</f>
        <v/>
      </c>
      <c r="C17" s="67" t="str">
        <f>IF(Bordero!B24="","",Bordero!D24)</f>
        <v/>
      </c>
      <c r="D17" s="4" t="str">
        <f>IF(Bordero!B24="","",Bordero!E24)</f>
        <v/>
      </c>
      <c r="E17" s="4" t="str">
        <f>IF(Bordero!B24="","",Bordero!F24)</f>
        <v/>
      </c>
      <c r="F17" s="70" t="str">
        <f>IF(Bordero!G24="","",Bordero!G24)</f>
        <v/>
      </c>
      <c r="G17" s="68" t="str">
        <f>IF(Bordero!H24="","",Bordero!H24)</f>
        <v/>
      </c>
      <c r="H17" s="71" t="str">
        <f>IF(Bordero!B24="","",Bordero!I24)</f>
        <v/>
      </c>
      <c r="I17" s="69" t="str">
        <f>IF(Bordero!J24="","",Bordero!J24)</f>
        <v/>
      </c>
    </row>
    <row r="18" spans="1:9" ht="18.75">
      <c r="A18" s="66" t="str">
        <f>IF(Bordero!B25="","",Bordero!B25)</f>
        <v/>
      </c>
      <c r="B18" s="66" t="str">
        <f>IF(Bordero!B25="","",Bordero!C25)</f>
        <v/>
      </c>
      <c r="C18" s="67" t="str">
        <f>IF(Bordero!B25="","",Bordero!D25)</f>
        <v/>
      </c>
      <c r="D18" s="4" t="str">
        <f>IF(Bordero!B25="","",Bordero!E25)</f>
        <v/>
      </c>
      <c r="E18" s="4" t="str">
        <f>IF(Bordero!B25="","",Bordero!F25)</f>
        <v/>
      </c>
      <c r="F18" s="70" t="str">
        <f>IF(Bordero!G25="","",Bordero!G25)</f>
        <v/>
      </c>
      <c r="G18" s="68" t="str">
        <f>IF(Bordero!H25="","",Bordero!H25)</f>
        <v/>
      </c>
      <c r="H18" s="71" t="str">
        <f>IF(Bordero!B25="","",Bordero!I25)</f>
        <v/>
      </c>
      <c r="I18" s="69" t="str">
        <f>IF(Bordero!J25="","",Bordero!J25)</f>
        <v/>
      </c>
    </row>
    <row r="19" spans="1:9" ht="18.75">
      <c r="A19" s="66" t="str">
        <f>IF(Bordero!B26="","",Bordero!B26)</f>
        <v/>
      </c>
      <c r="B19" s="66" t="str">
        <f>IF(Bordero!B26="","",Bordero!C26)</f>
        <v/>
      </c>
      <c r="C19" s="67" t="str">
        <f>IF(Bordero!B26="","",Bordero!D26)</f>
        <v/>
      </c>
      <c r="D19" s="4" t="str">
        <f>IF(Bordero!B26="","",Bordero!E26)</f>
        <v/>
      </c>
      <c r="E19" s="4" t="str">
        <f>IF(Bordero!B26="","",Bordero!F26)</f>
        <v/>
      </c>
      <c r="F19" s="70" t="str">
        <f>IF(Bordero!G26="","",Bordero!G26)</f>
        <v/>
      </c>
      <c r="G19" s="68" t="str">
        <f>IF(Bordero!H26="","",Bordero!H26)</f>
        <v/>
      </c>
      <c r="H19" s="71" t="str">
        <f>IF(Bordero!B26="","",Bordero!I26)</f>
        <v/>
      </c>
      <c r="I19" s="69" t="str">
        <f>IF(Bordero!J26="","",Bordero!J26)</f>
        <v/>
      </c>
    </row>
    <row r="20" spans="1:9" ht="18.75">
      <c r="A20" s="66" t="str">
        <f>IF(Bordero!B27="","",Bordero!B27)</f>
        <v/>
      </c>
      <c r="B20" s="66" t="str">
        <f>IF(Bordero!B27="","",Bordero!C27)</f>
        <v/>
      </c>
      <c r="C20" s="67" t="str">
        <f>IF(Bordero!B27="","",Bordero!D27)</f>
        <v/>
      </c>
      <c r="D20" s="4" t="str">
        <f>IF(Bordero!B27="","",Bordero!E27)</f>
        <v/>
      </c>
      <c r="E20" s="4" t="str">
        <f>IF(Bordero!B27="","",Bordero!F27)</f>
        <v/>
      </c>
      <c r="F20" s="70" t="str">
        <f>IF(Bordero!G27="","",Bordero!G27)</f>
        <v/>
      </c>
      <c r="G20" s="68" t="str">
        <f>IF(Bordero!H27="","",Bordero!H27)</f>
        <v/>
      </c>
      <c r="H20" s="71" t="str">
        <f>IF(Bordero!B27="","",Bordero!I27)</f>
        <v/>
      </c>
      <c r="I20" s="69" t="str">
        <f>IF(Bordero!J27="","",Bordero!J27)</f>
        <v/>
      </c>
    </row>
    <row r="21" spans="1:9" ht="18.75">
      <c r="A21" s="66" t="str">
        <f>IF(Bordero!B28="","",Bordero!B28)</f>
        <v/>
      </c>
      <c r="B21" s="66" t="str">
        <f>IF(Bordero!B28="","",Bordero!C28)</f>
        <v/>
      </c>
      <c r="C21" s="67" t="str">
        <f>IF(Bordero!B28="","",Bordero!D28)</f>
        <v/>
      </c>
      <c r="D21" s="4" t="str">
        <f>IF(Bordero!B28="","",Bordero!E28)</f>
        <v/>
      </c>
      <c r="E21" s="4" t="str">
        <f>IF(Bordero!B28="","",Bordero!F28)</f>
        <v/>
      </c>
      <c r="F21" s="70" t="str">
        <f>IF(Bordero!G28="","",Bordero!G28)</f>
        <v/>
      </c>
      <c r="G21" s="68" t="str">
        <f>IF(Bordero!H28="","",Bordero!H28)</f>
        <v/>
      </c>
      <c r="H21" s="71" t="str">
        <f>IF(Bordero!B28="","",Bordero!I28)</f>
        <v/>
      </c>
      <c r="I21" s="69" t="str">
        <f>IF(Bordero!J28="","",Bordero!J28)</f>
        <v/>
      </c>
    </row>
    <row r="22" spans="1:9" ht="18.75">
      <c r="A22" s="66" t="str">
        <f>IF(Bordero!B29="","",Bordero!B29)</f>
        <v/>
      </c>
      <c r="B22" s="66" t="str">
        <f>IF(Bordero!B29="","",Bordero!C29)</f>
        <v/>
      </c>
      <c r="C22" s="67" t="str">
        <f>IF(Bordero!B29="","",Bordero!D29)</f>
        <v/>
      </c>
      <c r="D22" s="4" t="str">
        <f>IF(Bordero!B29="","",Bordero!E29)</f>
        <v/>
      </c>
      <c r="E22" s="4" t="str">
        <f>IF(Bordero!B29="","",Bordero!F29)</f>
        <v/>
      </c>
      <c r="F22" s="70" t="str">
        <f>IF(Bordero!G29="","",Bordero!G29)</f>
        <v/>
      </c>
      <c r="G22" s="68" t="str">
        <f>IF(Bordero!H29="","",Bordero!H29)</f>
        <v/>
      </c>
      <c r="H22" s="71" t="str">
        <f>IF(Bordero!B29="","",Bordero!I29)</f>
        <v/>
      </c>
      <c r="I22" s="69" t="str">
        <f>IF(Bordero!J29="","",Bordero!J29)</f>
        <v/>
      </c>
    </row>
    <row r="23" spans="1:9" ht="18.75">
      <c r="A23" s="66" t="str">
        <f>IF(Bordero!B30="","",Bordero!B30)</f>
        <v/>
      </c>
      <c r="B23" s="66" t="str">
        <f>IF(Bordero!B30="","",Bordero!C30)</f>
        <v/>
      </c>
      <c r="C23" s="67" t="str">
        <f>IF(Bordero!B30="","",Bordero!D30)</f>
        <v/>
      </c>
      <c r="D23" s="4" t="str">
        <f>IF(Bordero!B30="","",Bordero!E30)</f>
        <v/>
      </c>
      <c r="E23" s="4" t="str">
        <f>IF(Bordero!B30="","",Bordero!F30)</f>
        <v/>
      </c>
      <c r="F23" s="70" t="str">
        <f>IF(Bordero!G30="","",Bordero!G30)</f>
        <v/>
      </c>
      <c r="G23" s="68" t="str">
        <f>IF(Bordero!H30="","",Bordero!H30)</f>
        <v/>
      </c>
      <c r="H23" s="71" t="str">
        <f>IF(Bordero!B30="","",Bordero!I30)</f>
        <v/>
      </c>
      <c r="I23" s="69" t="str">
        <f>IF(Bordero!J30="","",Bordero!J30)</f>
        <v/>
      </c>
    </row>
    <row r="24" spans="1:9" ht="18.75">
      <c r="A24" s="66" t="str">
        <f>IF(Bordero!B31="","",Bordero!B31)</f>
        <v/>
      </c>
      <c r="B24" s="66" t="str">
        <f>IF(Bordero!B31="","",Bordero!C31)</f>
        <v/>
      </c>
      <c r="C24" s="67" t="str">
        <f>IF(Bordero!B31="","",Bordero!D31)</f>
        <v/>
      </c>
      <c r="D24" s="4" t="str">
        <f>IF(Bordero!B31="","",Bordero!E31)</f>
        <v/>
      </c>
      <c r="E24" s="4" t="str">
        <f>IF(Bordero!B31="","",Bordero!F31)</f>
        <v/>
      </c>
      <c r="F24" s="70" t="str">
        <f>IF(Bordero!G31="","",Bordero!G31)</f>
        <v/>
      </c>
      <c r="G24" s="68" t="str">
        <f>IF(Bordero!H31="","",Bordero!H31)</f>
        <v/>
      </c>
      <c r="H24" s="71" t="str">
        <f>IF(Bordero!B31="","",Bordero!I31)</f>
        <v/>
      </c>
      <c r="I24" s="69" t="str">
        <f>IF(Bordero!J31="","",Bordero!J31)</f>
        <v/>
      </c>
    </row>
    <row r="25" spans="1:9" ht="18.75">
      <c r="A25" s="66" t="str">
        <f>IF(Bordero!B32="","",Bordero!B32)</f>
        <v/>
      </c>
      <c r="B25" s="66" t="str">
        <f>IF(Bordero!B32="","",Bordero!C32)</f>
        <v/>
      </c>
      <c r="C25" s="67" t="str">
        <f>IF(Bordero!B32="","",Bordero!D32)</f>
        <v/>
      </c>
      <c r="D25" s="4" t="str">
        <f>IF(Bordero!B32="","",Bordero!E32)</f>
        <v/>
      </c>
      <c r="E25" s="4" t="str">
        <f>IF(Bordero!B32="","",Bordero!F32)</f>
        <v/>
      </c>
      <c r="F25" s="70" t="str">
        <f>IF(Bordero!G32="","",Bordero!G32)</f>
        <v/>
      </c>
      <c r="G25" s="68" t="str">
        <f>IF(Bordero!H32="","",Bordero!H32)</f>
        <v/>
      </c>
      <c r="H25" s="71" t="str">
        <f>IF(Bordero!B32="","",Bordero!I32)</f>
        <v/>
      </c>
      <c r="I25" s="69" t="str">
        <f>IF(Bordero!J32="","",Bordero!J32)</f>
        <v/>
      </c>
    </row>
    <row r="26" spans="1:9" ht="18.75">
      <c r="A26" s="66" t="str">
        <f>IF(Bordero!B33="","",Bordero!B33)</f>
        <v/>
      </c>
      <c r="B26" s="66" t="str">
        <f>IF(Bordero!B33="","",Bordero!C33)</f>
        <v/>
      </c>
      <c r="C26" s="67" t="str">
        <f>IF(Bordero!B33="","",Bordero!D33)</f>
        <v/>
      </c>
      <c r="D26" s="4" t="str">
        <f>IF(Bordero!B33="","",Bordero!E33)</f>
        <v/>
      </c>
      <c r="E26" s="4" t="str">
        <f>IF(Bordero!B33="","",Bordero!F33)</f>
        <v/>
      </c>
      <c r="F26" s="70" t="str">
        <f>IF(Bordero!G33="","",Bordero!G33)</f>
        <v/>
      </c>
      <c r="G26" s="68" t="str">
        <f>IF(Bordero!H33="","",Bordero!H33)</f>
        <v/>
      </c>
      <c r="H26" s="71" t="str">
        <f>IF(Bordero!B33="","",Bordero!I33)</f>
        <v/>
      </c>
      <c r="I26" s="69" t="str">
        <f>IF(Bordero!J33="","",Bordero!J33)</f>
        <v/>
      </c>
    </row>
    <row r="27" spans="1:9" ht="18.75">
      <c r="A27" s="66" t="str">
        <f>IF(Bordero!B34="","",Bordero!B34)</f>
        <v/>
      </c>
      <c r="B27" s="66" t="str">
        <f>IF(Bordero!B34="","",Bordero!C34)</f>
        <v/>
      </c>
      <c r="C27" s="67" t="str">
        <f>IF(Bordero!B34="","",Bordero!D34)</f>
        <v/>
      </c>
      <c r="D27" s="4" t="str">
        <f>IF(Bordero!B34="","",Bordero!E34)</f>
        <v/>
      </c>
      <c r="E27" s="4" t="str">
        <f>IF(Bordero!B34="","",Bordero!F34)</f>
        <v/>
      </c>
      <c r="F27" s="70" t="str">
        <f>IF(Bordero!G34="","",Bordero!G34)</f>
        <v/>
      </c>
      <c r="G27" s="68" t="str">
        <f>IF(Bordero!H34="","",Bordero!H34)</f>
        <v/>
      </c>
      <c r="H27" s="71" t="str">
        <f>IF(Bordero!B34="","",Bordero!I34)</f>
        <v/>
      </c>
      <c r="I27" s="69" t="str">
        <f>IF(Bordero!J34="","",Bordero!J34)</f>
        <v/>
      </c>
    </row>
    <row r="28" spans="1:9" ht="18.75">
      <c r="A28" s="66" t="str">
        <f>IF(Bordero!B35="","",Bordero!B35)</f>
        <v/>
      </c>
      <c r="B28" s="66" t="str">
        <f>IF(Bordero!B35="","",Bordero!C35)</f>
        <v/>
      </c>
      <c r="C28" s="67" t="str">
        <f>IF(Bordero!B35="","",Bordero!D35)</f>
        <v/>
      </c>
      <c r="D28" s="4" t="str">
        <f>IF(Bordero!B35="","",Bordero!E35)</f>
        <v/>
      </c>
      <c r="E28" s="4" t="str">
        <f>IF(Bordero!B35="","",Bordero!F35)</f>
        <v/>
      </c>
      <c r="F28" s="70" t="str">
        <f>IF(Bordero!G35="","",Bordero!G35)</f>
        <v/>
      </c>
      <c r="G28" s="68" t="str">
        <f>IF(Bordero!H35="","",Bordero!H35)</f>
        <v/>
      </c>
      <c r="H28" s="71" t="str">
        <f>IF(Bordero!B35="","",Bordero!I35)</f>
        <v/>
      </c>
      <c r="I28" s="69" t="str">
        <f>IF(Bordero!J35="","",Bordero!J35)</f>
        <v/>
      </c>
    </row>
    <row r="29" spans="1:9" ht="18.75">
      <c r="A29" s="66" t="str">
        <f>IF(Bordero!B36="","",Bordero!B36)</f>
        <v/>
      </c>
      <c r="B29" s="66" t="str">
        <f>IF(Bordero!B36="","",Bordero!C36)</f>
        <v/>
      </c>
      <c r="C29" s="67" t="str">
        <f>IF(Bordero!B36="","",Bordero!D36)</f>
        <v/>
      </c>
      <c r="D29" s="4" t="str">
        <f>IF(Bordero!B36="","",Bordero!E36)</f>
        <v/>
      </c>
      <c r="E29" s="4" t="str">
        <f>IF(Bordero!B36="","",Bordero!F36)</f>
        <v/>
      </c>
      <c r="F29" s="70" t="str">
        <f>IF(Bordero!G36="","",Bordero!G36)</f>
        <v/>
      </c>
      <c r="G29" s="68" t="str">
        <f>IF(Bordero!H36="","",Bordero!H36)</f>
        <v/>
      </c>
      <c r="H29" s="71" t="str">
        <f>IF(Bordero!B36="","",Bordero!I36)</f>
        <v/>
      </c>
      <c r="I29" s="69" t="str">
        <f>IF(Bordero!J36="","",Bordero!J36)</f>
        <v/>
      </c>
    </row>
    <row r="30" spans="1:9" ht="18.75">
      <c r="A30" s="66" t="str">
        <f>IF(Bordero!B37="","",Bordero!B37)</f>
        <v/>
      </c>
      <c r="B30" s="66" t="str">
        <f>IF(Bordero!B37="","",Bordero!C37)</f>
        <v/>
      </c>
      <c r="C30" s="67" t="str">
        <f>IF(Bordero!B37="","",Bordero!D37)</f>
        <v/>
      </c>
      <c r="D30" s="4" t="str">
        <f>IF(Bordero!B37="","",Bordero!E37)</f>
        <v/>
      </c>
      <c r="E30" s="4" t="str">
        <f>IF(Bordero!B37="","",Bordero!F37)</f>
        <v/>
      </c>
      <c r="F30" s="70" t="str">
        <f>IF(Bordero!G37="","",Bordero!G37)</f>
        <v/>
      </c>
      <c r="G30" s="68" t="str">
        <f>IF(Bordero!H37="","",Bordero!H37)</f>
        <v/>
      </c>
      <c r="H30" s="71" t="str">
        <f>IF(Bordero!B37="","",Bordero!I37)</f>
        <v/>
      </c>
      <c r="I30" s="69" t="str">
        <f>IF(Bordero!J37="","",Bordero!J37)</f>
        <v/>
      </c>
    </row>
    <row r="31" spans="1:9" ht="18.75">
      <c r="A31" s="66" t="str">
        <f>IF(Bordero!B38="","",Bordero!B38)</f>
        <v/>
      </c>
      <c r="B31" s="66" t="str">
        <f>IF(Bordero!B38="","",Bordero!C38)</f>
        <v/>
      </c>
      <c r="C31" s="67" t="str">
        <f>IF(Bordero!B38="","",Bordero!D38)</f>
        <v/>
      </c>
      <c r="D31" s="4" t="str">
        <f>IF(Bordero!B38="","",Bordero!E38)</f>
        <v/>
      </c>
      <c r="E31" s="4" t="str">
        <f>IF(Bordero!B38="","",Bordero!F38)</f>
        <v/>
      </c>
      <c r="F31" s="70" t="str">
        <f>IF(Bordero!G38="","",Bordero!G38)</f>
        <v/>
      </c>
      <c r="G31" s="68" t="str">
        <f>IF(Bordero!H38="","",Bordero!H38)</f>
        <v/>
      </c>
      <c r="H31" s="71" t="str">
        <f>IF(Bordero!B38="","",Bordero!I38)</f>
        <v/>
      </c>
      <c r="I31" s="69" t="str">
        <f>IF(Bordero!J38="","",Bordero!J38)</f>
        <v/>
      </c>
    </row>
    <row r="32" spans="1:9" ht="18.75">
      <c r="A32" s="66" t="str">
        <f>IF(Bordero!B39="","",Bordero!B39)</f>
        <v/>
      </c>
      <c r="B32" s="66" t="str">
        <f>IF(Bordero!B39="","",Bordero!C39)</f>
        <v/>
      </c>
      <c r="C32" s="67" t="str">
        <f>IF(Bordero!B39="","",Bordero!D39)</f>
        <v/>
      </c>
      <c r="D32" s="4" t="str">
        <f>IF(Bordero!B39="","",Bordero!E39)</f>
        <v/>
      </c>
      <c r="E32" s="4" t="str">
        <f>IF(Bordero!B39="","",Bordero!F39)</f>
        <v/>
      </c>
      <c r="F32" s="70" t="str">
        <f>IF(Bordero!G39="","",Bordero!G39)</f>
        <v/>
      </c>
      <c r="G32" s="68" t="str">
        <f>IF(Bordero!H39="","",Bordero!H39)</f>
        <v/>
      </c>
      <c r="H32" s="71" t="str">
        <f>IF(Bordero!B39="","",Bordero!I39)</f>
        <v/>
      </c>
      <c r="I32" s="69" t="str">
        <f>IF(Bordero!J39="","",Bordero!J39)</f>
        <v/>
      </c>
    </row>
    <row r="33" spans="1:9" ht="18.75">
      <c r="A33" s="66" t="str">
        <f>IF(Bordero!B40="","",Bordero!B40)</f>
        <v/>
      </c>
      <c r="B33" s="66" t="str">
        <f>IF(Bordero!B40="","",Bordero!C40)</f>
        <v/>
      </c>
      <c r="C33" s="67" t="str">
        <f>IF(Bordero!B40="","",Bordero!D40)</f>
        <v/>
      </c>
      <c r="D33" s="4" t="str">
        <f>IF(Bordero!B40="","",Bordero!E40)</f>
        <v/>
      </c>
      <c r="E33" s="4" t="str">
        <f>IF(Bordero!B40="","",Bordero!F40)</f>
        <v/>
      </c>
      <c r="F33" s="70" t="str">
        <f>IF(Bordero!G40="","",Bordero!G40)</f>
        <v/>
      </c>
      <c r="G33" s="68" t="str">
        <f>IF(Bordero!H40="","",Bordero!H40)</f>
        <v/>
      </c>
      <c r="H33" s="71" t="str">
        <f>IF(Bordero!B40="","",Bordero!I40)</f>
        <v/>
      </c>
      <c r="I33" s="69" t="str">
        <f>IF(Bordero!J40="","",Bordero!J40)</f>
        <v/>
      </c>
    </row>
    <row r="34" spans="1:9" ht="18.75">
      <c r="A34" s="66" t="str">
        <f>IF(Bordero!B41="","",Bordero!B41)</f>
        <v/>
      </c>
      <c r="B34" s="66" t="str">
        <f>IF(Bordero!B41="","",Bordero!C41)</f>
        <v/>
      </c>
      <c r="C34" s="67" t="str">
        <f>IF(Bordero!B41="","",Bordero!D41)</f>
        <v/>
      </c>
      <c r="D34" s="4" t="str">
        <f>IF(Bordero!B41="","",Bordero!E41)</f>
        <v/>
      </c>
      <c r="E34" s="4" t="str">
        <f>IF(Bordero!B41="","",Bordero!F41)</f>
        <v/>
      </c>
      <c r="F34" s="70" t="str">
        <f>IF(Bordero!G41="","",Bordero!G41)</f>
        <v/>
      </c>
      <c r="G34" s="68" t="str">
        <f>IF(Bordero!H41="","",Bordero!H41)</f>
        <v/>
      </c>
      <c r="H34" s="71" t="str">
        <f>IF(Bordero!B41="","",Bordero!I41)</f>
        <v/>
      </c>
      <c r="I34" s="69" t="str">
        <f>IF(Bordero!J41="","",Bordero!J41)</f>
        <v/>
      </c>
    </row>
    <row r="35" spans="1:9" ht="18.75">
      <c r="A35" s="66" t="str">
        <f>IF(Bordero!B42="","",Bordero!B42)</f>
        <v/>
      </c>
      <c r="B35" s="66" t="str">
        <f>IF(Bordero!B42="","",Bordero!C42)</f>
        <v/>
      </c>
      <c r="C35" s="67" t="str">
        <f>IF(Bordero!B42="","",Bordero!D42)</f>
        <v/>
      </c>
      <c r="D35" s="4" t="str">
        <f>IF(Bordero!B42="","",Bordero!E42)</f>
        <v/>
      </c>
      <c r="E35" s="4" t="str">
        <f>IF(Bordero!B42="","",Bordero!F42)</f>
        <v/>
      </c>
      <c r="F35" s="70" t="str">
        <f>IF(Bordero!G42="","",Bordero!G42)</f>
        <v/>
      </c>
      <c r="G35" s="68" t="str">
        <f>IF(Bordero!H42="","",Bordero!H42)</f>
        <v/>
      </c>
      <c r="H35" s="71" t="str">
        <f>IF(Bordero!B42="","",Bordero!I42)</f>
        <v/>
      </c>
      <c r="I35" s="69" t="str">
        <f>IF(Bordero!J42="","",Bordero!J42)</f>
        <v/>
      </c>
    </row>
    <row r="36" spans="1:9" ht="18.75">
      <c r="A36" s="66" t="str">
        <f>IF(Bordero!B43="","",Bordero!B43)</f>
        <v/>
      </c>
      <c r="B36" s="66" t="str">
        <f>IF(Bordero!B43="","",Bordero!C43)</f>
        <v/>
      </c>
      <c r="C36" s="67" t="str">
        <f>IF(Bordero!B43="","",Bordero!D43)</f>
        <v/>
      </c>
      <c r="D36" s="4" t="str">
        <f>IF(Bordero!B43="","",Bordero!E43)</f>
        <v/>
      </c>
      <c r="E36" s="4" t="str">
        <f>IF(Bordero!B43="","",Bordero!F43)</f>
        <v/>
      </c>
      <c r="F36" s="70" t="str">
        <f>IF(Bordero!G43="","",Bordero!G43)</f>
        <v/>
      </c>
      <c r="G36" s="68" t="str">
        <f>IF(Bordero!H43="","",Bordero!H43)</f>
        <v/>
      </c>
      <c r="H36" s="71" t="str">
        <f>IF(Bordero!B43="","",Bordero!I43)</f>
        <v/>
      </c>
      <c r="I36" s="69" t="str">
        <f>IF(Bordero!J43="","",Bordero!J43)</f>
        <v/>
      </c>
    </row>
    <row r="37" spans="1:9" ht="18.75">
      <c r="A37" s="66" t="str">
        <f>IF(Bordero!B44="","",Bordero!B44)</f>
        <v/>
      </c>
      <c r="B37" s="66" t="str">
        <f>IF(Bordero!B44="","",Bordero!C44)</f>
        <v/>
      </c>
      <c r="C37" s="67" t="str">
        <f>IF(Bordero!B44="","",Bordero!D44)</f>
        <v/>
      </c>
      <c r="D37" s="4" t="str">
        <f>IF(Bordero!B44="","",Bordero!E44)</f>
        <v/>
      </c>
      <c r="E37" s="4" t="str">
        <f>IF(Bordero!B44="","",Bordero!F44)</f>
        <v/>
      </c>
      <c r="F37" s="70" t="str">
        <f>IF(Bordero!G44="","",Bordero!G44)</f>
        <v/>
      </c>
      <c r="G37" s="68" t="str">
        <f>IF(Bordero!H44="","",Bordero!H44)</f>
        <v/>
      </c>
      <c r="H37" s="71" t="str">
        <f>IF(Bordero!B44="","",Bordero!I44)</f>
        <v/>
      </c>
      <c r="I37" s="69" t="str">
        <f>IF(Bordero!J44="","",Bordero!J44)</f>
        <v/>
      </c>
    </row>
    <row r="38" spans="1:9" ht="18.75">
      <c r="A38" s="66" t="str">
        <f>IF(Bordero!B45="","",Bordero!B45)</f>
        <v/>
      </c>
      <c r="B38" s="66" t="str">
        <f>IF(Bordero!B45="","",Bordero!C45)</f>
        <v/>
      </c>
      <c r="C38" s="67" t="str">
        <f>IF(Bordero!B45="","",Bordero!D45)</f>
        <v/>
      </c>
      <c r="D38" s="4" t="str">
        <f>IF(Bordero!B45="","",Bordero!E45)</f>
        <v/>
      </c>
      <c r="E38" s="4" t="str">
        <f>IF(Bordero!B45="","",Bordero!F45)</f>
        <v/>
      </c>
      <c r="F38" s="70" t="str">
        <f>IF(Bordero!G45="","",Bordero!G45)</f>
        <v/>
      </c>
      <c r="G38" s="68" t="str">
        <f>IF(Bordero!H45="","",Bordero!H45)</f>
        <v/>
      </c>
      <c r="H38" s="71" t="str">
        <f>IF(Bordero!B45="","",Bordero!I45)</f>
        <v/>
      </c>
      <c r="I38" s="69" t="str">
        <f>IF(Bordero!J45="","",Bordero!J45)</f>
        <v/>
      </c>
    </row>
    <row r="39" spans="1:9" ht="18.75">
      <c r="A39" s="66" t="str">
        <f>IF(Bordero!B46="","",Bordero!B46)</f>
        <v/>
      </c>
      <c r="B39" s="66" t="str">
        <f>IF(Bordero!B46="","",Bordero!C46)</f>
        <v/>
      </c>
      <c r="C39" s="67" t="str">
        <f>IF(Bordero!B46="","",Bordero!D46)</f>
        <v/>
      </c>
      <c r="D39" s="4" t="str">
        <f>IF(Bordero!B46="","",Bordero!E46)</f>
        <v/>
      </c>
      <c r="E39" s="4" t="str">
        <f>IF(Bordero!B46="","",Bordero!F46)</f>
        <v/>
      </c>
      <c r="F39" s="70" t="str">
        <f>IF(Bordero!G46="","",Bordero!G46)</f>
        <v/>
      </c>
      <c r="G39" s="68" t="str">
        <f>IF(Bordero!H46="","",Bordero!H46)</f>
        <v/>
      </c>
      <c r="H39" s="71" t="str">
        <f>IF(Bordero!B46="","",Bordero!I46)</f>
        <v/>
      </c>
      <c r="I39" s="69" t="str">
        <f>IF(Bordero!J46="","",Bordero!J46)</f>
        <v/>
      </c>
    </row>
    <row r="40" spans="1:9" ht="18.75">
      <c r="A40" s="66" t="str">
        <f>IF(Bordero!B47="","",Bordero!B47)</f>
        <v/>
      </c>
      <c r="B40" s="66" t="str">
        <f>IF(Bordero!B47="","",Bordero!C47)</f>
        <v/>
      </c>
      <c r="C40" s="67" t="str">
        <f>IF(Bordero!B47="","",Bordero!D47)</f>
        <v/>
      </c>
      <c r="D40" s="4" t="str">
        <f>IF(Bordero!B47="","",Bordero!E47)</f>
        <v/>
      </c>
      <c r="E40" s="4" t="str">
        <f>IF(Bordero!B47="","",Bordero!F47)</f>
        <v/>
      </c>
      <c r="F40" s="70" t="str">
        <f>IF(Bordero!G47="","",Bordero!G47)</f>
        <v/>
      </c>
      <c r="G40" s="68" t="str">
        <f>IF(Bordero!H47="","",Bordero!H47)</f>
        <v/>
      </c>
      <c r="H40" s="71" t="str">
        <f>IF(Bordero!B47="","",Bordero!I47)</f>
        <v/>
      </c>
      <c r="I40" s="69" t="str">
        <f>IF(Bordero!J47="","",Bordero!J47)</f>
        <v/>
      </c>
    </row>
    <row r="41" spans="1:9" ht="18.75">
      <c r="A41" s="66" t="str">
        <f>IF(Bordero!B48="","",Bordero!B48)</f>
        <v/>
      </c>
      <c r="B41" s="66" t="str">
        <f>IF(Bordero!B48="","",Bordero!C48)</f>
        <v/>
      </c>
      <c r="C41" s="67" t="str">
        <f>IF(Bordero!B48="","",Bordero!D48)</f>
        <v/>
      </c>
      <c r="D41" s="4" t="str">
        <f>IF(Bordero!B48="","",Bordero!E48)</f>
        <v/>
      </c>
      <c r="E41" s="4" t="str">
        <f>IF(Bordero!B48="","",Bordero!F48)</f>
        <v/>
      </c>
      <c r="F41" s="70" t="str">
        <f>IF(Bordero!G48="","",Bordero!G48)</f>
        <v/>
      </c>
      <c r="G41" s="68" t="str">
        <f>IF(Bordero!H48="","",Bordero!H48)</f>
        <v/>
      </c>
      <c r="H41" s="71" t="str">
        <f>IF(Bordero!B48="","",Bordero!I48)</f>
        <v/>
      </c>
      <c r="I41" s="69" t="str">
        <f>IF(Bordero!J48="","",Bordero!J48)</f>
        <v/>
      </c>
    </row>
    <row r="42" spans="1:9" ht="18.75">
      <c r="A42" s="66" t="str">
        <f>IF(Bordero!B49="","",Bordero!B49)</f>
        <v/>
      </c>
      <c r="B42" s="66" t="str">
        <f>IF(Bordero!B49="","",Bordero!C49)</f>
        <v/>
      </c>
      <c r="C42" s="67" t="str">
        <f>IF(Bordero!B49="","",Bordero!D49)</f>
        <v/>
      </c>
      <c r="D42" s="4" t="str">
        <f>IF(Bordero!B49="","",Bordero!E49)</f>
        <v/>
      </c>
      <c r="E42" s="4" t="str">
        <f>IF(Bordero!B49="","",Bordero!F49)</f>
        <v/>
      </c>
      <c r="F42" s="70" t="str">
        <f>IF(Bordero!G49="","",Bordero!G49)</f>
        <v/>
      </c>
      <c r="G42" s="68" t="str">
        <f>IF(Bordero!H49="","",Bordero!H49)</f>
        <v/>
      </c>
      <c r="H42" s="71" t="str">
        <f>IF(Bordero!B49="","",Bordero!I49)</f>
        <v/>
      </c>
      <c r="I42" s="69" t="str">
        <f>IF(Bordero!J49="","",Bordero!J49)</f>
        <v/>
      </c>
    </row>
    <row r="43" spans="1:9" ht="18.75">
      <c r="A43" s="66" t="str">
        <f>IF(Bordero!B50="","",Bordero!B50)</f>
        <v/>
      </c>
      <c r="B43" s="66" t="str">
        <f>IF(Bordero!B50="","",Bordero!C50)</f>
        <v/>
      </c>
      <c r="C43" s="67" t="str">
        <f>IF(Bordero!B50="","",Bordero!D50)</f>
        <v/>
      </c>
      <c r="D43" s="4" t="str">
        <f>IF(Bordero!B50="","",Bordero!E50)</f>
        <v/>
      </c>
      <c r="E43" s="4" t="str">
        <f>IF(Bordero!B50="","",Bordero!F50)</f>
        <v/>
      </c>
      <c r="F43" s="70" t="str">
        <f>IF(Bordero!G50="","",Bordero!G50)</f>
        <v/>
      </c>
      <c r="G43" s="68" t="str">
        <f>IF(Bordero!H50="","",Bordero!H50)</f>
        <v/>
      </c>
      <c r="H43" s="71" t="str">
        <f>IF(Bordero!B50="","",Bordero!I50)</f>
        <v/>
      </c>
      <c r="I43" s="69" t="str">
        <f>IF(Bordero!J50="","",Bordero!J50)</f>
        <v/>
      </c>
    </row>
    <row r="44" spans="1:9" ht="18.75">
      <c r="A44" s="66" t="str">
        <f>IF(Bordero!B51="","",Bordero!B51)</f>
        <v/>
      </c>
      <c r="B44" s="66" t="str">
        <f>IF(Bordero!B51="","",Bordero!C51)</f>
        <v/>
      </c>
      <c r="C44" s="67" t="str">
        <f>IF(Bordero!B51="","",Bordero!D51)</f>
        <v/>
      </c>
      <c r="D44" s="4" t="str">
        <f>IF(Bordero!B51="","",Bordero!E51)</f>
        <v/>
      </c>
      <c r="E44" s="4" t="str">
        <f>IF(Bordero!B51="","",Bordero!F51)</f>
        <v/>
      </c>
      <c r="F44" s="70" t="str">
        <f>IF(Bordero!G51="","",Bordero!G51)</f>
        <v/>
      </c>
      <c r="G44" s="68" t="str">
        <f>IF(Bordero!H51="","",Bordero!H51)</f>
        <v/>
      </c>
      <c r="H44" s="71" t="str">
        <f>IF(Bordero!B51="","",Bordero!I51)</f>
        <v/>
      </c>
      <c r="I44" s="69" t="str">
        <f>IF(Bordero!J51="","",Bordero!J51)</f>
        <v/>
      </c>
    </row>
    <row r="45" spans="1:9" ht="18.75">
      <c r="A45" s="66" t="str">
        <f>IF(Bordero!B52="","",Bordero!B52)</f>
        <v/>
      </c>
      <c r="B45" s="66" t="str">
        <f>IF(Bordero!B52="","",Bordero!C52)</f>
        <v/>
      </c>
      <c r="C45" s="67" t="str">
        <f>IF(Bordero!B52="","",Bordero!D52)</f>
        <v/>
      </c>
      <c r="D45" s="4" t="str">
        <f>IF(Bordero!B52="","",Bordero!E52)</f>
        <v/>
      </c>
      <c r="E45" s="4" t="str">
        <f>IF(Bordero!B52="","",Bordero!F52)</f>
        <v/>
      </c>
      <c r="F45" s="70" t="str">
        <f>IF(Bordero!G52="","",Bordero!G52)</f>
        <v/>
      </c>
      <c r="G45" s="68" t="str">
        <f>IF(Bordero!H52="","",Bordero!H52)</f>
        <v/>
      </c>
      <c r="H45" s="71" t="str">
        <f>IF(Bordero!B52="","",Bordero!I52)</f>
        <v/>
      </c>
      <c r="I45" s="69" t="str">
        <f>IF(Bordero!J52="","",Bordero!J52)</f>
        <v/>
      </c>
    </row>
    <row r="46" spans="1:9" ht="18.75">
      <c r="A46" s="66" t="str">
        <f>IF(Bordero!B53="","",Bordero!B53)</f>
        <v/>
      </c>
      <c r="B46" s="66" t="str">
        <f>IF(Bordero!B53="","",Bordero!C53)</f>
        <v/>
      </c>
      <c r="C46" s="67" t="str">
        <f>IF(Bordero!B53="","",Bordero!D53)</f>
        <v/>
      </c>
      <c r="D46" s="4" t="str">
        <f>IF(Bordero!B53="","",Bordero!E53)</f>
        <v/>
      </c>
      <c r="E46" s="4" t="str">
        <f>IF(Bordero!B53="","",Bordero!F53)</f>
        <v/>
      </c>
      <c r="F46" s="70" t="str">
        <f>IF(Bordero!G53="","",Bordero!G53)</f>
        <v/>
      </c>
      <c r="G46" s="68" t="str">
        <f>IF(Bordero!H53="","",Bordero!H53)</f>
        <v/>
      </c>
      <c r="H46" s="71" t="str">
        <f>IF(Bordero!B53="","",Bordero!I53)</f>
        <v/>
      </c>
      <c r="I46" s="69" t="str">
        <f>IF(Bordero!J53="","",Bordero!J53)</f>
        <v/>
      </c>
    </row>
    <row r="47" spans="1:9" ht="18.75">
      <c r="A47" s="66" t="str">
        <f>IF(Bordero!B54="","",Bordero!B54)</f>
        <v/>
      </c>
      <c r="B47" s="66" t="str">
        <f>IF(Bordero!B54="","",Bordero!C54)</f>
        <v/>
      </c>
      <c r="C47" s="67" t="str">
        <f>IF(Bordero!B54="","",Bordero!D54)</f>
        <v/>
      </c>
      <c r="D47" s="4" t="str">
        <f>IF(Bordero!B54="","",Bordero!E54)</f>
        <v/>
      </c>
      <c r="E47" s="4" t="str">
        <f>IF(Bordero!B54="","",Bordero!F54)</f>
        <v/>
      </c>
      <c r="F47" s="70" t="str">
        <f>IF(Bordero!G54="","",Bordero!G54)</f>
        <v/>
      </c>
      <c r="G47" s="68" t="str">
        <f>IF(Bordero!H54="","",Bordero!H54)</f>
        <v/>
      </c>
      <c r="H47" s="71" t="str">
        <f>IF(Bordero!B54="","",Bordero!I54)</f>
        <v/>
      </c>
      <c r="I47" s="69" t="str">
        <f>IF(Bordero!J54="","",Bordero!J54)</f>
        <v/>
      </c>
    </row>
    <row r="48" spans="1:9" ht="18.75">
      <c r="A48" s="66" t="str">
        <f>IF(Bordero!B55="","",Bordero!B55)</f>
        <v/>
      </c>
      <c r="B48" s="66" t="str">
        <f>IF(Bordero!B55="","",Bordero!C55)</f>
        <v/>
      </c>
      <c r="C48" s="67" t="str">
        <f>IF(Bordero!B55="","",Bordero!D55)</f>
        <v/>
      </c>
      <c r="D48" s="4" t="str">
        <f>IF(Bordero!B55="","",Bordero!E55)</f>
        <v/>
      </c>
      <c r="E48" s="4" t="str">
        <f>IF(Bordero!B55="","",Bordero!F55)</f>
        <v/>
      </c>
      <c r="F48" s="70" t="str">
        <f>IF(Bordero!G55="","",Bordero!G55)</f>
        <v/>
      </c>
      <c r="G48" s="68" t="str">
        <f>IF(Bordero!H55="","",Bordero!H55)</f>
        <v/>
      </c>
      <c r="H48" s="71" t="str">
        <f>IF(Bordero!B55="","",Bordero!I55)</f>
        <v/>
      </c>
      <c r="I48" s="69" t="str">
        <f>IF(Bordero!J55="","",Bordero!J55)</f>
        <v/>
      </c>
    </row>
    <row r="49" spans="1:9" ht="18.75">
      <c r="A49" s="66" t="str">
        <f>IF(Bordero!B56="","",Bordero!B56)</f>
        <v/>
      </c>
      <c r="B49" s="66" t="str">
        <f>IF(Bordero!B56="","",Bordero!C56)</f>
        <v/>
      </c>
      <c r="C49" s="67" t="str">
        <f>IF(Bordero!B56="","",Bordero!D56)</f>
        <v/>
      </c>
      <c r="D49" s="4" t="str">
        <f>IF(Bordero!B56="","",Bordero!E56)</f>
        <v/>
      </c>
      <c r="E49" s="4" t="str">
        <f>IF(Bordero!B56="","",Bordero!F56)</f>
        <v/>
      </c>
      <c r="F49" s="70" t="str">
        <f>IF(Bordero!G56="","",Bordero!G56)</f>
        <v/>
      </c>
      <c r="G49" s="68" t="str">
        <f>IF(Bordero!H56="","",Bordero!H56)</f>
        <v/>
      </c>
      <c r="H49" s="71" t="str">
        <f>IF(Bordero!B56="","",Bordero!I56)</f>
        <v/>
      </c>
      <c r="I49" s="69" t="str">
        <f>IF(Bordero!J56="","",Bordero!J56)</f>
        <v/>
      </c>
    </row>
    <row r="50" spans="1:9" ht="18.75">
      <c r="A50" s="66" t="str">
        <f>IF(Bordero!B57="","",Bordero!B57)</f>
        <v/>
      </c>
      <c r="B50" s="66" t="str">
        <f>IF(Bordero!B57="","",Bordero!C57)</f>
        <v/>
      </c>
      <c r="C50" s="67" t="str">
        <f>IF(Bordero!B57="","",Bordero!D57)</f>
        <v/>
      </c>
      <c r="D50" s="4" t="str">
        <f>IF(Bordero!B57="","",Bordero!E57)</f>
        <v/>
      </c>
      <c r="E50" s="4" t="str">
        <f>IF(Bordero!B57="","",Bordero!F57)</f>
        <v/>
      </c>
      <c r="F50" s="70" t="str">
        <f>IF(Bordero!G57="","",Bordero!G57)</f>
        <v/>
      </c>
      <c r="G50" s="68" t="str">
        <f>IF(Bordero!H57="","",Bordero!H57)</f>
        <v/>
      </c>
      <c r="H50" s="71" t="str">
        <f>IF(Bordero!B57="","",Bordero!I57)</f>
        <v/>
      </c>
      <c r="I50" s="69" t="str">
        <f>IF(Bordero!J57="","",Bordero!J57)</f>
        <v/>
      </c>
    </row>
    <row r="51" spans="1:9" ht="18.75">
      <c r="A51" s="66" t="str">
        <f>IF(Bordero!B58="","",Bordero!B58)</f>
        <v/>
      </c>
      <c r="B51" s="66" t="str">
        <f>IF(Bordero!B58="","",Bordero!C58)</f>
        <v/>
      </c>
      <c r="C51" s="67" t="str">
        <f>IF(Bordero!B58="","",Bordero!D58)</f>
        <v/>
      </c>
      <c r="D51" s="4" t="str">
        <f>IF(Bordero!B58="","",Bordero!E58)</f>
        <v/>
      </c>
      <c r="E51" s="4" t="str">
        <f>IF(Bordero!B58="","",Bordero!F58)</f>
        <v/>
      </c>
      <c r="F51" s="70" t="str">
        <f>IF(Bordero!G58="","",Bordero!G58)</f>
        <v/>
      </c>
      <c r="G51" s="68" t="str">
        <f>IF(Bordero!H58="","",Bordero!H58)</f>
        <v/>
      </c>
      <c r="H51" s="71" t="str">
        <f>IF(Bordero!B58="","",Bordero!I58)</f>
        <v/>
      </c>
      <c r="I51" s="69" t="str">
        <f>IF(Bordero!J58="","",Bordero!J58)</f>
        <v/>
      </c>
    </row>
    <row r="52" spans="1:9" ht="18.75">
      <c r="A52" s="66" t="str">
        <f>IF(Bordero!B59="","",Bordero!B59)</f>
        <v/>
      </c>
      <c r="B52" s="66" t="str">
        <f>IF(Bordero!B59="","",Bordero!C59)</f>
        <v/>
      </c>
      <c r="C52" s="67" t="str">
        <f>IF(Bordero!B59="","",Bordero!D59)</f>
        <v/>
      </c>
      <c r="D52" s="4" t="str">
        <f>IF(Bordero!B59="","",Bordero!E59)</f>
        <v/>
      </c>
      <c r="E52" s="4" t="str">
        <f>IF(Bordero!B59="","",Bordero!F59)</f>
        <v/>
      </c>
      <c r="F52" s="70" t="str">
        <f>IF(Bordero!G59="","",Bordero!G59)</f>
        <v/>
      </c>
      <c r="G52" s="68" t="str">
        <f>IF(Bordero!H59="","",Bordero!H59)</f>
        <v/>
      </c>
      <c r="H52" s="71" t="str">
        <f>IF(Bordero!B59="","",Bordero!I59)</f>
        <v/>
      </c>
      <c r="I52" s="69" t="str">
        <f>IF(Bordero!J59="","",Bordero!J59)</f>
        <v/>
      </c>
    </row>
    <row r="53" spans="1:9" ht="18.75">
      <c r="A53" s="66" t="str">
        <f>IF(Bordero!B60="","",Bordero!B60)</f>
        <v/>
      </c>
      <c r="B53" s="66" t="str">
        <f>IF(Bordero!B60="","",Bordero!C60)</f>
        <v/>
      </c>
      <c r="C53" s="67" t="str">
        <f>IF(Bordero!B60="","",Bordero!D60)</f>
        <v/>
      </c>
      <c r="D53" s="4" t="str">
        <f>IF(Bordero!B60="","",Bordero!E60)</f>
        <v/>
      </c>
      <c r="E53" s="4" t="str">
        <f>IF(Bordero!B60="","",Bordero!F60)</f>
        <v/>
      </c>
      <c r="F53" s="70" t="str">
        <f>IF(Bordero!G60="","",Bordero!G60)</f>
        <v/>
      </c>
      <c r="G53" s="68" t="str">
        <f>IF(Bordero!H60="","",Bordero!H60)</f>
        <v/>
      </c>
      <c r="H53" s="71" t="str">
        <f>IF(Bordero!B60="","",Bordero!I60)</f>
        <v/>
      </c>
      <c r="I53" s="69" t="str">
        <f>IF(Bordero!J60="","",Bordero!J60)</f>
        <v/>
      </c>
    </row>
    <row r="54" spans="1:9" ht="18.75">
      <c r="A54" s="66" t="str">
        <f>IF(Bordero!B61="","",Bordero!B61)</f>
        <v/>
      </c>
      <c r="B54" s="66" t="str">
        <f>IF(Bordero!B61="","",Bordero!C61)</f>
        <v/>
      </c>
      <c r="C54" s="67" t="str">
        <f>IF(Bordero!B61="","",Bordero!D61)</f>
        <v/>
      </c>
      <c r="D54" s="4" t="str">
        <f>IF(Bordero!B61="","",Bordero!E61)</f>
        <v/>
      </c>
      <c r="E54" s="4" t="str">
        <f>IF(Bordero!B61="","",Bordero!F61)</f>
        <v/>
      </c>
      <c r="F54" s="70" t="str">
        <f>IF(Bordero!G61="","",Bordero!G61)</f>
        <v/>
      </c>
      <c r="G54" s="68" t="str">
        <f>IF(Bordero!H61="","",Bordero!H61)</f>
        <v/>
      </c>
      <c r="H54" s="71" t="str">
        <f>IF(Bordero!B61="","",Bordero!I61)</f>
        <v/>
      </c>
      <c r="I54" s="69" t="str">
        <f>IF(Bordero!J61="","",Bordero!J61)</f>
        <v/>
      </c>
    </row>
    <row r="55" spans="1:9" ht="18.75">
      <c r="A55" s="66" t="str">
        <f>IF(Bordero!B62="","",Bordero!B62)</f>
        <v/>
      </c>
      <c r="B55" s="66" t="str">
        <f>IF(Bordero!B62="","",Bordero!C62)</f>
        <v/>
      </c>
      <c r="C55" s="67" t="str">
        <f>IF(Bordero!B62="","",Bordero!D62)</f>
        <v/>
      </c>
      <c r="D55" s="4" t="str">
        <f>IF(Bordero!B62="","",Bordero!E62)</f>
        <v/>
      </c>
      <c r="E55" s="4" t="str">
        <f>IF(Bordero!B62="","",Bordero!F62)</f>
        <v/>
      </c>
      <c r="F55" s="70" t="str">
        <f>IF(Bordero!G62="","",Bordero!G62)</f>
        <v/>
      </c>
      <c r="G55" s="68" t="str">
        <f>IF(Bordero!H62="","",Bordero!H62)</f>
        <v/>
      </c>
      <c r="H55" s="71" t="str">
        <f>IF(Bordero!B62="","",Bordero!I62)</f>
        <v/>
      </c>
      <c r="I55" s="69" t="str">
        <f>IF(Bordero!J62="","",Bordero!J62)</f>
        <v/>
      </c>
    </row>
    <row r="56" spans="1:9" ht="18.75">
      <c r="A56" s="66" t="str">
        <f>IF(Bordero!B63="","",Bordero!B63)</f>
        <v/>
      </c>
      <c r="B56" s="66" t="str">
        <f>IF(Bordero!B63="","",Bordero!C63)</f>
        <v/>
      </c>
      <c r="C56" s="67" t="str">
        <f>IF(Bordero!B63="","",Bordero!D63)</f>
        <v/>
      </c>
      <c r="D56" s="4" t="str">
        <f>IF(Bordero!B63="","",Bordero!E63)</f>
        <v/>
      </c>
      <c r="E56" s="4" t="str">
        <f>IF(Bordero!B63="","",Bordero!F63)</f>
        <v/>
      </c>
      <c r="F56" s="70" t="str">
        <f>IF(Bordero!G63="","",Bordero!G63)</f>
        <v/>
      </c>
      <c r="G56" s="68" t="str">
        <f>IF(Bordero!H63="","",Bordero!H63)</f>
        <v/>
      </c>
      <c r="H56" s="71" t="str">
        <f>IF(Bordero!B63="","",Bordero!I63)</f>
        <v/>
      </c>
      <c r="I56" s="69" t="str">
        <f>IF(Bordero!J63="","",Bordero!J63)</f>
        <v/>
      </c>
    </row>
    <row r="57" spans="1:9" ht="18.75">
      <c r="A57" s="66" t="str">
        <f>IF(Bordero!B64="","",Bordero!B64)</f>
        <v/>
      </c>
      <c r="B57" s="66" t="str">
        <f>IF(Bordero!B64="","",Bordero!C64)</f>
        <v/>
      </c>
      <c r="C57" s="67" t="str">
        <f>IF(Bordero!B64="","",Bordero!D64)</f>
        <v/>
      </c>
      <c r="D57" s="4" t="str">
        <f>IF(Bordero!B64="","",Bordero!E64)</f>
        <v/>
      </c>
      <c r="E57" s="4" t="str">
        <f>IF(Bordero!B64="","",Bordero!F64)</f>
        <v/>
      </c>
      <c r="F57" s="70" t="str">
        <f>IF(Bordero!G64="","",Bordero!G64)</f>
        <v/>
      </c>
      <c r="G57" s="68" t="str">
        <f>IF(Bordero!H64="","",Bordero!H64)</f>
        <v/>
      </c>
      <c r="H57" s="71" t="str">
        <f>IF(Bordero!B64="","",Bordero!I64)</f>
        <v/>
      </c>
      <c r="I57" s="69" t="str">
        <f>IF(Bordero!J64="","",Bordero!J64)</f>
        <v/>
      </c>
    </row>
    <row r="58" spans="1:9" ht="18.75">
      <c r="A58" s="66" t="str">
        <f>IF(Bordero!B65="","",Bordero!B65)</f>
        <v/>
      </c>
      <c r="B58" s="66" t="str">
        <f>IF(Bordero!B65="","",Bordero!C65)</f>
        <v/>
      </c>
      <c r="C58" s="67" t="str">
        <f>IF(Bordero!B65="","",Bordero!D65)</f>
        <v/>
      </c>
      <c r="D58" s="4" t="str">
        <f>IF(Bordero!B65="","",Bordero!E65)</f>
        <v/>
      </c>
      <c r="E58" s="4" t="str">
        <f>IF(Bordero!B65="","",Bordero!F65)</f>
        <v/>
      </c>
      <c r="F58" s="70" t="str">
        <f>IF(Bordero!G65="","",Bordero!G65)</f>
        <v/>
      </c>
      <c r="G58" s="68" t="str">
        <f>IF(Bordero!H65="","",Bordero!H65)</f>
        <v/>
      </c>
      <c r="H58" s="71" t="str">
        <f>IF(Bordero!B65="","",Bordero!I65)</f>
        <v/>
      </c>
      <c r="I58" s="69" t="str">
        <f>IF(Bordero!J65="","",Bordero!J65)</f>
        <v/>
      </c>
    </row>
    <row r="59" spans="1:9" ht="18.75">
      <c r="A59" s="66" t="str">
        <f>IF(Bordero!B66="","",Bordero!B66)</f>
        <v/>
      </c>
      <c r="B59" s="66" t="str">
        <f>IF(Bordero!B66="","",Bordero!C66)</f>
        <v/>
      </c>
      <c r="C59" s="67" t="str">
        <f>IF(Bordero!B66="","",Bordero!D66)</f>
        <v/>
      </c>
      <c r="D59" s="4" t="str">
        <f>IF(Bordero!B66="","",Bordero!E66)</f>
        <v/>
      </c>
      <c r="E59" s="4" t="str">
        <f>IF(Bordero!B66="","",Bordero!F66)</f>
        <v/>
      </c>
      <c r="F59" s="70" t="str">
        <f>IF(Bordero!G66="","",Bordero!G66)</f>
        <v/>
      </c>
      <c r="G59" s="68" t="str">
        <f>IF(Bordero!H66="","",Bordero!H66)</f>
        <v/>
      </c>
      <c r="H59" s="71" t="str">
        <f>IF(Bordero!B66="","",Bordero!I66)</f>
        <v/>
      </c>
      <c r="I59" s="69" t="str">
        <f>IF(Bordero!J66="","",Bordero!J66)</f>
        <v/>
      </c>
    </row>
    <row r="60" spans="1:9" ht="18.75">
      <c r="A60" s="66" t="str">
        <f>IF(Bordero!B67="","",Bordero!B67)</f>
        <v/>
      </c>
      <c r="B60" s="66" t="str">
        <f>IF(Bordero!B67="","",Bordero!C67)</f>
        <v/>
      </c>
      <c r="C60" s="67" t="str">
        <f>IF(Bordero!B67="","",Bordero!D67)</f>
        <v/>
      </c>
      <c r="D60" s="4" t="str">
        <f>IF(Bordero!B67="","",Bordero!E67)</f>
        <v/>
      </c>
      <c r="E60" s="4" t="str">
        <f>IF(Bordero!B67="","",Bordero!F67)</f>
        <v/>
      </c>
      <c r="F60" s="70" t="str">
        <f>IF(Bordero!G67="","",Bordero!G67)</f>
        <v/>
      </c>
      <c r="G60" s="68" t="str">
        <f>IF(Bordero!H67="","",Bordero!H67)</f>
        <v/>
      </c>
      <c r="H60" s="71" t="str">
        <f>IF(Bordero!B67="","",Bordero!I67)</f>
        <v/>
      </c>
      <c r="I60" s="69" t="str">
        <f>IF(Bordero!J67="","",Bordero!J67)</f>
        <v/>
      </c>
    </row>
    <row r="61" spans="1:9" ht="18.75">
      <c r="A61" s="66" t="str">
        <f>IF(Bordero!B68="","",Bordero!B68)</f>
        <v/>
      </c>
      <c r="B61" s="66" t="str">
        <f>IF(Bordero!B68="","",Bordero!C68)</f>
        <v/>
      </c>
      <c r="C61" s="67" t="str">
        <f>IF(Bordero!B68="","",Bordero!D68)</f>
        <v/>
      </c>
      <c r="D61" s="4" t="str">
        <f>IF(Bordero!B68="","",Bordero!E68)</f>
        <v/>
      </c>
      <c r="E61" s="4" t="str">
        <f>IF(Bordero!B68="","",Bordero!F68)</f>
        <v/>
      </c>
      <c r="F61" s="70" t="str">
        <f>IF(Bordero!G68="","",Bordero!G68)</f>
        <v/>
      </c>
      <c r="G61" s="68" t="str">
        <f>IF(Bordero!H68="","",Bordero!H68)</f>
        <v/>
      </c>
      <c r="H61" s="71" t="str">
        <f>IF(Bordero!B68="","",Bordero!I68)</f>
        <v/>
      </c>
      <c r="I61" s="69" t="str">
        <f>IF(Bordero!J68="","",Bordero!J68)</f>
        <v/>
      </c>
    </row>
    <row r="62" spans="1:9" ht="18.75">
      <c r="A62" s="66" t="str">
        <f>IF(Bordero!B69="","",Bordero!B69)</f>
        <v/>
      </c>
      <c r="B62" s="66" t="str">
        <f>IF(Bordero!B69="","",Bordero!C69)</f>
        <v/>
      </c>
      <c r="C62" s="67" t="str">
        <f>IF(Bordero!B69="","",Bordero!D69)</f>
        <v/>
      </c>
      <c r="D62" s="4" t="str">
        <f>IF(Bordero!B69="","",Bordero!E69)</f>
        <v/>
      </c>
      <c r="E62" s="4" t="str">
        <f>IF(Bordero!B69="","",Bordero!F69)</f>
        <v/>
      </c>
      <c r="F62" s="70" t="str">
        <f>IF(Bordero!G69="","",Bordero!G69)</f>
        <v/>
      </c>
      <c r="G62" s="68" t="str">
        <f>IF(Bordero!H69="","",Bordero!H69)</f>
        <v/>
      </c>
      <c r="H62" s="71" t="str">
        <f>IF(Bordero!B69="","",Bordero!I69)</f>
        <v/>
      </c>
      <c r="I62" s="69" t="str">
        <f>IF(Bordero!J69="","",Bordero!J69)</f>
        <v/>
      </c>
    </row>
    <row r="63" spans="1:9" ht="18.75">
      <c r="A63" s="66" t="str">
        <f>IF(Bordero!B70="","",Bordero!B70)</f>
        <v/>
      </c>
      <c r="B63" s="66" t="str">
        <f>IF(Bordero!B70="","",Bordero!C70)</f>
        <v/>
      </c>
      <c r="C63" s="67" t="str">
        <f>IF(Bordero!B70="","",Bordero!D70)</f>
        <v/>
      </c>
      <c r="D63" s="4" t="str">
        <f>IF(Bordero!B70="","",Bordero!E70)</f>
        <v/>
      </c>
      <c r="E63" s="4" t="str">
        <f>IF(Bordero!B70="","",Bordero!F70)</f>
        <v/>
      </c>
      <c r="F63" s="70" t="str">
        <f>IF(Bordero!G70="","",Bordero!G70)</f>
        <v/>
      </c>
      <c r="G63" s="68" t="str">
        <f>IF(Bordero!H70="","",Bordero!H70)</f>
        <v/>
      </c>
      <c r="H63" s="71" t="str">
        <f>IF(Bordero!B70="","",Bordero!I70)</f>
        <v/>
      </c>
      <c r="I63" s="69" t="str">
        <f>IF(Bordero!J70="","",Bordero!J70)</f>
        <v/>
      </c>
    </row>
    <row r="64" spans="1:9" ht="18.75">
      <c r="A64" s="66" t="str">
        <f>IF(Bordero!B71="","",Bordero!B71)</f>
        <v/>
      </c>
      <c r="B64" s="66" t="str">
        <f>IF(Bordero!B71="","",Bordero!C71)</f>
        <v/>
      </c>
      <c r="C64" s="67" t="str">
        <f>IF(Bordero!B71="","",Bordero!D71)</f>
        <v/>
      </c>
      <c r="D64" s="4" t="str">
        <f>IF(Bordero!B71="","",Bordero!E71)</f>
        <v/>
      </c>
      <c r="E64" s="4" t="str">
        <f>IF(Bordero!B71="","",Bordero!F71)</f>
        <v/>
      </c>
      <c r="F64" s="70" t="str">
        <f>IF(Bordero!G71="","",Bordero!G71)</f>
        <v/>
      </c>
      <c r="G64" s="68" t="str">
        <f>IF(Bordero!H71="","",Bordero!H71)</f>
        <v/>
      </c>
      <c r="H64" s="71" t="str">
        <f>IF(Bordero!B71="","",Bordero!I71)</f>
        <v/>
      </c>
      <c r="I64" s="69" t="str">
        <f>IF(Bordero!J71="","",Bordero!J71)</f>
        <v/>
      </c>
    </row>
    <row r="65" spans="1:9" ht="18.75">
      <c r="A65" s="66" t="str">
        <f>IF(Bordero!B72="","",Bordero!B72)</f>
        <v/>
      </c>
      <c r="B65" s="66" t="str">
        <f>IF(Bordero!B72="","",Bordero!C72)</f>
        <v/>
      </c>
      <c r="C65" s="67" t="str">
        <f>IF(Bordero!B72="","",Bordero!D72)</f>
        <v/>
      </c>
      <c r="D65" s="4" t="str">
        <f>IF(Bordero!B72="","",Bordero!E72)</f>
        <v/>
      </c>
      <c r="E65" s="4" t="str">
        <f>IF(Bordero!B72="","",Bordero!F72)</f>
        <v/>
      </c>
      <c r="F65" s="70" t="str">
        <f>IF(Bordero!G72="","",Bordero!G72)</f>
        <v/>
      </c>
      <c r="G65" s="68" t="str">
        <f>IF(Bordero!H72="","",Bordero!H72)</f>
        <v/>
      </c>
      <c r="H65" s="71" t="str">
        <f>IF(Bordero!B72="","",Bordero!I72)</f>
        <v/>
      </c>
      <c r="I65" s="69" t="str">
        <f>IF(Bordero!J72="","",Bordero!J72)</f>
        <v/>
      </c>
    </row>
    <row r="66" spans="1:9" ht="18.75">
      <c r="A66" s="66" t="str">
        <f>IF(Bordero!B73="","",Bordero!B73)</f>
        <v/>
      </c>
      <c r="B66" s="66" t="str">
        <f>IF(Bordero!B73="","",Bordero!C73)</f>
        <v/>
      </c>
      <c r="C66" s="67" t="str">
        <f>IF(Bordero!B73="","",Bordero!D73)</f>
        <v/>
      </c>
      <c r="D66" s="4" t="str">
        <f>IF(Bordero!B73="","",Bordero!E73)</f>
        <v/>
      </c>
      <c r="E66" s="4" t="str">
        <f>IF(Bordero!B73="","",Bordero!F73)</f>
        <v/>
      </c>
      <c r="F66" s="70" t="str">
        <f>IF(Bordero!G73="","",Bordero!G73)</f>
        <v/>
      </c>
      <c r="G66" s="68" t="str">
        <f>IF(Bordero!H73="","",Bordero!H73)</f>
        <v/>
      </c>
      <c r="H66" s="71" t="str">
        <f>IF(Bordero!B73="","",Bordero!I73)</f>
        <v/>
      </c>
      <c r="I66" s="69" t="str">
        <f>IF(Bordero!J73="","",Bordero!J73)</f>
        <v/>
      </c>
    </row>
    <row r="67" spans="1:9" ht="18.75">
      <c r="A67" s="66" t="str">
        <f>IF(Bordero!B74="","",Bordero!B74)</f>
        <v/>
      </c>
      <c r="B67" s="66" t="str">
        <f>IF(Bordero!B74="","",Bordero!C74)</f>
        <v/>
      </c>
      <c r="C67" s="67" t="str">
        <f>IF(Bordero!B74="","",Bordero!D74)</f>
        <v/>
      </c>
      <c r="D67" s="4" t="str">
        <f>IF(Bordero!B74="","",Bordero!E74)</f>
        <v/>
      </c>
      <c r="E67" s="4" t="str">
        <f>IF(Bordero!B74="","",Bordero!F74)</f>
        <v/>
      </c>
      <c r="F67" s="70" t="str">
        <f>IF(Bordero!G74="","",Bordero!G74)</f>
        <v/>
      </c>
      <c r="G67" s="68" t="str">
        <f>IF(Bordero!H74="","",Bordero!H74)</f>
        <v/>
      </c>
      <c r="H67" s="71" t="str">
        <f>IF(Bordero!B74="","",Bordero!I74)</f>
        <v/>
      </c>
      <c r="I67" s="69" t="str">
        <f>IF(Bordero!J74="","",Bordero!J74)</f>
        <v/>
      </c>
    </row>
    <row r="68" spans="1:9" ht="18.75">
      <c r="A68" s="66" t="str">
        <f>IF(Bordero!B75="","",Bordero!B75)</f>
        <v/>
      </c>
      <c r="B68" s="66" t="str">
        <f>IF(Bordero!B75="","",Bordero!C75)</f>
        <v/>
      </c>
      <c r="C68" s="67" t="str">
        <f>IF(Bordero!B75="","",Bordero!D75)</f>
        <v/>
      </c>
      <c r="D68" s="4" t="str">
        <f>IF(Bordero!B75="","",Bordero!E75)</f>
        <v/>
      </c>
      <c r="E68" s="4" t="str">
        <f>IF(Bordero!B75="","",Bordero!F75)</f>
        <v/>
      </c>
      <c r="F68" s="70" t="str">
        <f>IF(Bordero!G75="","",Bordero!G75)</f>
        <v/>
      </c>
      <c r="G68" s="68" t="str">
        <f>IF(Bordero!H75="","",Bordero!H75)</f>
        <v/>
      </c>
      <c r="H68" s="71" t="str">
        <f>IF(Bordero!B75="","",Bordero!I75)</f>
        <v/>
      </c>
      <c r="I68" s="69" t="str">
        <f>IF(Bordero!J75="","",Bordero!J75)</f>
        <v/>
      </c>
    </row>
    <row r="69" spans="1:9" ht="18.75">
      <c r="A69" s="66" t="str">
        <f>IF(Bordero!B76="","",Bordero!B76)</f>
        <v/>
      </c>
      <c r="B69" s="66" t="str">
        <f>IF(Bordero!B76="","",Bordero!C76)</f>
        <v/>
      </c>
      <c r="C69" s="67" t="str">
        <f>IF(Bordero!B76="","",Bordero!D76)</f>
        <v/>
      </c>
      <c r="D69" s="4" t="str">
        <f>IF(Bordero!B76="","",Bordero!E76)</f>
        <v/>
      </c>
      <c r="E69" s="4" t="str">
        <f>IF(Bordero!B76="","",Bordero!F76)</f>
        <v/>
      </c>
      <c r="F69" s="70" t="str">
        <f>IF(Bordero!G76="","",Bordero!G76)</f>
        <v/>
      </c>
      <c r="G69" s="68" t="str">
        <f>IF(Bordero!H76="","",Bordero!H76)</f>
        <v/>
      </c>
      <c r="H69" s="71" t="str">
        <f>IF(Bordero!B76="","",Bordero!I76)</f>
        <v/>
      </c>
      <c r="I69" s="69" t="str">
        <f>IF(Bordero!J76="","",Bordero!J76)</f>
        <v/>
      </c>
    </row>
    <row r="70" spans="1:9" ht="18.75">
      <c r="A70" s="66" t="str">
        <f>IF(Bordero!B77="","",Bordero!B77)</f>
        <v/>
      </c>
      <c r="B70" s="66" t="str">
        <f>IF(Bordero!B77="","",Bordero!C77)</f>
        <v/>
      </c>
      <c r="C70" s="67" t="str">
        <f>IF(Bordero!B77="","",Bordero!D77)</f>
        <v/>
      </c>
      <c r="D70" s="4" t="str">
        <f>IF(Bordero!B77="","",Bordero!E77)</f>
        <v/>
      </c>
      <c r="E70" s="4" t="str">
        <f>IF(Bordero!B77="","",Bordero!F77)</f>
        <v/>
      </c>
      <c r="F70" s="70" t="str">
        <f>IF(Bordero!G77="","",Bordero!G77)</f>
        <v/>
      </c>
      <c r="G70" s="68" t="str">
        <f>IF(Bordero!H77="","",Bordero!H77)</f>
        <v/>
      </c>
      <c r="H70" s="71" t="str">
        <f>IF(Bordero!B77="","",Bordero!I77)</f>
        <v/>
      </c>
      <c r="I70" s="69" t="str">
        <f>IF(Bordero!J77="","",Bordero!J77)</f>
        <v/>
      </c>
    </row>
    <row r="71" spans="1:9" ht="18.75">
      <c r="A71" s="66" t="str">
        <f>IF(Bordero!B78="","",Bordero!B78)</f>
        <v/>
      </c>
      <c r="B71" s="66" t="str">
        <f>IF(Bordero!B78="","",Bordero!C78)</f>
        <v/>
      </c>
      <c r="C71" s="67" t="str">
        <f>IF(Bordero!B78="","",Bordero!D78)</f>
        <v/>
      </c>
      <c r="D71" s="4" t="str">
        <f>IF(Bordero!B78="","",Bordero!E78)</f>
        <v/>
      </c>
      <c r="E71" s="4" t="str">
        <f>IF(Bordero!B78="","",Bordero!F78)</f>
        <v/>
      </c>
      <c r="F71" s="70" t="str">
        <f>IF(Bordero!G78="","",Bordero!G78)</f>
        <v/>
      </c>
      <c r="G71" s="68" t="str">
        <f>IF(Bordero!H78="","",Bordero!H78)</f>
        <v/>
      </c>
      <c r="H71" s="71" t="str">
        <f>IF(Bordero!B78="","",Bordero!I78)</f>
        <v/>
      </c>
      <c r="I71" s="69" t="str">
        <f>IF(Bordero!J78="","",Bordero!J78)</f>
        <v/>
      </c>
    </row>
    <row r="72" spans="1:9" ht="18.75">
      <c r="A72" s="66" t="str">
        <f>IF(Bordero!B79="","",Bordero!B79)</f>
        <v/>
      </c>
      <c r="B72" s="66" t="str">
        <f>IF(Bordero!B79="","",Bordero!C79)</f>
        <v/>
      </c>
      <c r="C72" s="67" t="str">
        <f>IF(Bordero!B79="","",Bordero!D79)</f>
        <v/>
      </c>
      <c r="D72" s="4" t="str">
        <f>IF(Bordero!B79="","",Bordero!E79)</f>
        <v/>
      </c>
      <c r="E72" s="4" t="str">
        <f>IF(Bordero!B79="","",Bordero!F79)</f>
        <v/>
      </c>
      <c r="F72" s="70" t="str">
        <f>IF(Bordero!G79="","",Bordero!G79)</f>
        <v/>
      </c>
      <c r="G72" s="68" t="str">
        <f>IF(Bordero!H79="","",Bordero!H79)</f>
        <v/>
      </c>
      <c r="H72" s="71" t="str">
        <f>IF(Bordero!B79="","",Bordero!I79)</f>
        <v/>
      </c>
      <c r="I72" s="69" t="str">
        <f>IF(Bordero!J79="","",Bordero!J79)</f>
        <v/>
      </c>
    </row>
    <row r="73" spans="1:9" ht="18.75">
      <c r="A73" s="66" t="str">
        <f>IF(Bordero!B80="","",Bordero!B80)</f>
        <v/>
      </c>
      <c r="B73" s="66" t="str">
        <f>IF(Bordero!B80="","",Bordero!C80)</f>
        <v/>
      </c>
      <c r="C73" s="67" t="str">
        <f>IF(Bordero!B80="","",Bordero!D80)</f>
        <v/>
      </c>
      <c r="D73" s="4" t="str">
        <f>IF(Bordero!B80="","",Bordero!E80)</f>
        <v/>
      </c>
      <c r="E73" s="4" t="str">
        <f>IF(Bordero!B80="","",Bordero!F80)</f>
        <v/>
      </c>
      <c r="F73" s="70" t="str">
        <f>IF(Bordero!G80="","",Bordero!G80)</f>
        <v/>
      </c>
      <c r="G73" s="68" t="str">
        <f>IF(Bordero!H80="","",Bordero!H80)</f>
        <v/>
      </c>
      <c r="H73" s="71" t="str">
        <f>IF(Bordero!B80="","",Bordero!I80)</f>
        <v/>
      </c>
      <c r="I73" s="69" t="str">
        <f>IF(Bordero!J80="","",Bordero!J80)</f>
        <v/>
      </c>
    </row>
    <row r="74" spans="1:9" ht="18.75">
      <c r="A74" s="66" t="str">
        <f>IF(Bordero!B81="","",Bordero!B81)</f>
        <v/>
      </c>
      <c r="B74" s="66" t="str">
        <f>IF(Bordero!B81="","",Bordero!C81)</f>
        <v/>
      </c>
      <c r="C74" s="67" t="str">
        <f>IF(Bordero!B81="","",Bordero!D81)</f>
        <v/>
      </c>
      <c r="D74" s="4" t="str">
        <f>IF(Bordero!B81="","",Bordero!E81)</f>
        <v/>
      </c>
      <c r="E74" s="4" t="str">
        <f>IF(Bordero!B81="","",Bordero!F81)</f>
        <v/>
      </c>
      <c r="F74" s="70" t="str">
        <f>IF(Bordero!G81="","",Bordero!G81)</f>
        <v/>
      </c>
      <c r="G74" s="68" t="str">
        <f>IF(Bordero!H81="","",Bordero!H81)</f>
        <v/>
      </c>
      <c r="H74" s="71" t="str">
        <f>IF(Bordero!B81="","",Bordero!I81)</f>
        <v/>
      </c>
      <c r="I74" s="69" t="str">
        <f>IF(Bordero!J81="","",Bordero!J81)</f>
        <v/>
      </c>
    </row>
    <row r="75" spans="1:9" ht="18.75">
      <c r="A75" s="66" t="str">
        <f>IF(Bordero!B82="","",Bordero!B82)</f>
        <v/>
      </c>
      <c r="B75" s="66" t="str">
        <f>IF(Bordero!B82="","",Bordero!C82)</f>
        <v/>
      </c>
      <c r="C75" s="67" t="str">
        <f>IF(Bordero!B82="","",Bordero!D82)</f>
        <v/>
      </c>
      <c r="D75" s="4" t="str">
        <f>IF(Bordero!B82="","",Bordero!E82)</f>
        <v/>
      </c>
      <c r="E75" s="4" t="str">
        <f>IF(Bordero!B82="","",Bordero!F82)</f>
        <v/>
      </c>
      <c r="F75" s="70" t="str">
        <f>IF(Bordero!G82="","",Bordero!G82)</f>
        <v/>
      </c>
      <c r="G75" s="68" t="str">
        <f>IF(Bordero!H82="","",Bordero!H82)</f>
        <v/>
      </c>
      <c r="H75" s="71" t="str">
        <f>IF(Bordero!B82="","",Bordero!I82)</f>
        <v/>
      </c>
      <c r="I75" s="69" t="str">
        <f>IF(Bordero!J82="","",Bordero!J82)</f>
        <v/>
      </c>
    </row>
    <row r="76" spans="1:9" ht="18.75">
      <c r="A76" s="66" t="str">
        <f>IF(Bordero!B83="","",Bordero!B83)</f>
        <v/>
      </c>
      <c r="B76" s="66" t="str">
        <f>IF(Bordero!B83="","",Bordero!C83)</f>
        <v/>
      </c>
      <c r="C76" s="67" t="str">
        <f>IF(Bordero!B83="","",Bordero!D83)</f>
        <v/>
      </c>
      <c r="D76" s="4" t="str">
        <f>IF(Bordero!B83="","",Bordero!E83)</f>
        <v/>
      </c>
      <c r="E76" s="4" t="str">
        <f>IF(Bordero!B83="","",Bordero!F83)</f>
        <v/>
      </c>
      <c r="F76" s="70" t="str">
        <f>IF(Bordero!G83="","",Bordero!G83)</f>
        <v/>
      </c>
      <c r="G76" s="68" t="str">
        <f>IF(Bordero!H83="","",Bordero!H83)</f>
        <v/>
      </c>
      <c r="H76" s="71" t="str">
        <f>IF(Bordero!B83="","",Bordero!I83)</f>
        <v/>
      </c>
      <c r="I76" s="69" t="str">
        <f>IF(Bordero!J83="","",Bordero!J83)</f>
        <v/>
      </c>
    </row>
    <row r="77" spans="1:9" ht="18.75">
      <c r="A77" s="66" t="str">
        <f>IF(Bordero!B84="","",Bordero!B84)</f>
        <v/>
      </c>
      <c r="B77" s="66" t="str">
        <f>IF(Bordero!B84="","",Bordero!C84)</f>
        <v/>
      </c>
      <c r="C77" s="67" t="str">
        <f>IF(Bordero!B84="","",Bordero!D84)</f>
        <v/>
      </c>
      <c r="D77" s="4" t="str">
        <f>IF(Bordero!B84="","",Bordero!E84)</f>
        <v/>
      </c>
      <c r="E77" s="4" t="str">
        <f>IF(Bordero!B84="","",Bordero!F84)</f>
        <v/>
      </c>
      <c r="F77" s="70" t="str">
        <f>IF(Bordero!G84="","",Bordero!G84)</f>
        <v/>
      </c>
      <c r="G77" s="68" t="str">
        <f>IF(Bordero!H84="","",Bordero!H84)</f>
        <v/>
      </c>
      <c r="H77" s="71" t="str">
        <f>IF(Bordero!B84="","",Bordero!I84)</f>
        <v/>
      </c>
      <c r="I77" s="69" t="str">
        <f>IF(Bordero!J84="","",Bordero!J84)</f>
        <v/>
      </c>
    </row>
    <row r="78" spans="1:9" ht="18.75">
      <c r="A78" s="66" t="str">
        <f>IF(Bordero!B85="","",Bordero!B85)</f>
        <v/>
      </c>
      <c r="B78" s="66" t="str">
        <f>IF(Bordero!B85="","",Bordero!C85)</f>
        <v/>
      </c>
      <c r="C78" s="67" t="str">
        <f>IF(Bordero!B85="","",Bordero!D85)</f>
        <v/>
      </c>
      <c r="D78" s="4" t="str">
        <f>IF(Bordero!B85="","",Bordero!E85)</f>
        <v/>
      </c>
      <c r="E78" s="4" t="str">
        <f>IF(Bordero!B85="","",Bordero!F85)</f>
        <v/>
      </c>
      <c r="F78" s="70" t="str">
        <f>IF(Bordero!G85="","",Bordero!G85)</f>
        <v/>
      </c>
      <c r="G78" s="68" t="str">
        <f>IF(Bordero!H85="","",Bordero!H85)</f>
        <v/>
      </c>
      <c r="H78" s="71" t="str">
        <f>IF(Bordero!B85="","",Bordero!I85)</f>
        <v/>
      </c>
      <c r="I78" s="69" t="str">
        <f>IF(Bordero!J85="","",Bordero!J85)</f>
        <v/>
      </c>
    </row>
    <row r="79" spans="1:9" ht="18.75">
      <c r="A79" s="66" t="str">
        <f>IF(Bordero!B86="","",Bordero!B86)</f>
        <v/>
      </c>
      <c r="B79" s="66" t="str">
        <f>IF(Bordero!B86="","",Bordero!C86)</f>
        <v/>
      </c>
      <c r="C79" s="67" t="str">
        <f>IF(Bordero!B86="","",Bordero!D86)</f>
        <v/>
      </c>
      <c r="D79" s="4" t="str">
        <f>IF(Bordero!B86="","",Bordero!E86)</f>
        <v/>
      </c>
      <c r="E79" s="4" t="str">
        <f>IF(Bordero!B86="","",Bordero!F86)</f>
        <v/>
      </c>
      <c r="F79" s="70" t="str">
        <f>IF(Bordero!G86="","",Bordero!G86)</f>
        <v/>
      </c>
      <c r="G79" s="68" t="str">
        <f>IF(Bordero!H86="","",Bordero!H86)</f>
        <v/>
      </c>
      <c r="H79" s="71" t="str">
        <f>IF(Bordero!B86="","",Bordero!I86)</f>
        <v/>
      </c>
      <c r="I79" s="69" t="str">
        <f>IF(Bordero!J86="","",Bordero!J86)</f>
        <v/>
      </c>
    </row>
    <row r="80" spans="1:9" ht="18.75">
      <c r="A80" s="66" t="str">
        <f>IF(Bordero!B87="","",Bordero!B87)</f>
        <v/>
      </c>
      <c r="B80" s="66" t="str">
        <f>IF(Bordero!B87="","",Bordero!C87)</f>
        <v/>
      </c>
      <c r="C80" s="67" t="str">
        <f>IF(Bordero!B87="","",Bordero!D87)</f>
        <v/>
      </c>
      <c r="D80" s="4" t="str">
        <f>IF(Bordero!B87="","",Bordero!E87)</f>
        <v/>
      </c>
      <c r="E80" s="4" t="str">
        <f>IF(Bordero!B87="","",Bordero!F87)</f>
        <v/>
      </c>
      <c r="F80" s="70" t="str">
        <f>IF(Bordero!G87="","",Bordero!G87)</f>
        <v/>
      </c>
      <c r="G80" s="68" t="str">
        <f>IF(Bordero!H87="","",Bordero!H87)</f>
        <v/>
      </c>
      <c r="H80" s="71" t="str">
        <f>IF(Bordero!B87="","",Bordero!I87)</f>
        <v/>
      </c>
      <c r="I80" s="69" t="str">
        <f>IF(Bordero!J87="","",Bordero!J87)</f>
        <v/>
      </c>
    </row>
    <row r="81" spans="1:9" ht="18.75">
      <c r="A81" s="66" t="str">
        <f>IF(Bordero!B88="","",Bordero!B88)</f>
        <v/>
      </c>
      <c r="B81" s="66" t="str">
        <f>IF(Bordero!B88="","",Bordero!C88)</f>
        <v/>
      </c>
      <c r="C81" s="67" t="str">
        <f>IF(Bordero!B88="","",Bordero!D88)</f>
        <v/>
      </c>
      <c r="D81" s="4" t="str">
        <f>IF(Bordero!B88="","",Bordero!E88)</f>
        <v/>
      </c>
      <c r="E81" s="4" t="str">
        <f>IF(Bordero!B88="","",Bordero!F88)</f>
        <v/>
      </c>
      <c r="F81" s="70" t="str">
        <f>IF(Bordero!G88="","",Bordero!G88)</f>
        <v/>
      </c>
      <c r="G81" s="68" t="str">
        <f>IF(Bordero!H88="","",Bordero!H88)</f>
        <v/>
      </c>
      <c r="H81" s="71" t="str">
        <f>IF(Bordero!B88="","",Bordero!I88)</f>
        <v/>
      </c>
      <c r="I81" s="69" t="str">
        <f>IF(Bordero!J88="","",Bordero!J88)</f>
        <v/>
      </c>
    </row>
    <row r="82" spans="1:9" ht="18.75">
      <c r="A82" s="66" t="str">
        <f>IF(Bordero!B89="","",Bordero!B89)</f>
        <v/>
      </c>
      <c r="B82" s="66" t="str">
        <f>IF(Bordero!B89="","",Bordero!C89)</f>
        <v/>
      </c>
      <c r="C82" s="67" t="str">
        <f>IF(Bordero!B89="","",Bordero!D89)</f>
        <v/>
      </c>
      <c r="D82" s="4" t="str">
        <f>IF(Bordero!B89="","",Bordero!E89)</f>
        <v/>
      </c>
      <c r="E82" s="4" t="str">
        <f>IF(Bordero!B89="","",Bordero!F89)</f>
        <v/>
      </c>
      <c r="F82" s="70" t="str">
        <f>IF(Bordero!G89="","",Bordero!G89)</f>
        <v/>
      </c>
      <c r="G82" s="68" t="str">
        <f>IF(Bordero!H89="","",Bordero!H89)</f>
        <v/>
      </c>
      <c r="H82" s="71" t="str">
        <f>IF(Bordero!B89="","",Bordero!I89)</f>
        <v/>
      </c>
      <c r="I82" s="69" t="str">
        <f>IF(Bordero!J89="","",Bordero!J89)</f>
        <v/>
      </c>
    </row>
    <row r="83" spans="1:9" ht="18.75">
      <c r="A83" s="66" t="str">
        <f>IF(Bordero!B90="","",Bordero!B90)</f>
        <v/>
      </c>
      <c r="B83" s="66" t="str">
        <f>IF(Bordero!B90="","",Bordero!C90)</f>
        <v/>
      </c>
      <c r="C83" s="67" t="str">
        <f>IF(Bordero!B90="","",Bordero!D90)</f>
        <v/>
      </c>
      <c r="D83" s="4" t="str">
        <f>IF(Bordero!B90="","",Bordero!E90)</f>
        <v/>
      </c>
      <c r="E83" s="4" t="str">
        <f>IF(Bordero!B90="","",Bordero!F90)</f>
        <v/>
      </c>
      <c r="F83" s="70" t="str">
        <f>IF(Bordero!G90="","",Bordero!G90)</f>
        <v/>
      </c>
      <c r="G83" s="68" t="str">
        <f>IF(Bordero!H90="","",Bordero!H90)</f>
        <v/>
      </c>
      <c r="H83" s="71" t="str">
        <f>IF(Bordero!B90="","",Bordero!I90)</f>
        <v/>
      </c>
      <c r="I83" s="69" t="str">
        <f>IF(Bordero!J90="","",Bordero!J90)</f>
        <v/>
      </c>
    </row>
    <row r="84" spans="1:9" ht="18.75">
      <c r="A84" s="66" t="str">
        <f>IF(Bordero!B91="","",Bordero!B91)</f>
        <v/>
      </c>
      <c r="B84" s="66" t="str">
        <f>IF(Bordero!B91="","",Bordero!C91)</f>
        <v/>
      </c>
      <c r="C84" s="67" t="str">
        <f>IF(Bordero!B91="","",Bordero!D91)</f>
        <v/>
      </c>
      <c r="D84" s="4" t="str">
        <f>IF(Bordero!B91="","",Bordero!E91)</f>
        <v/>
      </c>
      <c r="E84" s="4" t="str">
        <f>IF(Bordero!B91="","",Bordero!F91)</f>
        <v/>
      </c>
      <c r="F84" s="70" t="str">
        <f>IF(Bordero!G91="","",Bordero!G91)</f>
        <v/>
      </c>
      <c r="G84" s="68" t="str">
        <f>IF(Bordero!H91="","",Bordero!H91)</f>
        <v/>
      </c>
      <c r="H84" s="71" t="str">
        <f>IF(Bordero!B91="","",Bordero!I91)</f>
        <v/>
      </c>
      <c r="I84" s="69" t="str">
        <f>IF(Bordero!J91="","",Bordero!J91)</f>
        <v/>
      </c>
    </row>
    <row r="85" spans="1:9" ht="18.75">
      <c r="A85" s="66" t="str">
        <f>IF(Bordero!B92="","",Bordero!B92)</f>
        <v/>
      </c>
      <c r="B85" s="66" t="str">
        <f>IF(Bordero!B92="","",Bordero!C92)</f>
        <v/>
      </c>
      <c r="C85" s="67" t="str">
        <f>IF(Bordero!B92="","",Bordero!D92)</f>
        <v/>
      </c>
      <c r="D85" s="4" t="str">
        <f>IF(Bordero!B92="","",Bordero!E92)</f>
        <v/>
      </c>
      <c r="E85" s="4" t="str">
        <f>IF(Bordero!B92="","",Bordero!F92)</f>
        <v/>
      </c>
      <c r="F85" s="70" t="str">
        <f>IF(Bordero!G92="","",Bordero!G92)</f>
        <v/>
      </c>
      <c r="G85" s="68" t="str">
        <f>IF(Bordero!H92="","",Bordero!H92)</f>
        <v/>
      </c>
      <c r="H85" s="71" t="str">
        <f>IF(Bordero!B92="","",Bordero!I92)</f>
        <v/>
      </c>
      <c r="I85" s="69" t="str">
        <f>IF(Bordero!J92="","",Bordero!J92)</f>
        <v/>
      </c>
    </row>
    <row r="86" spans="1:9" ht="18.75">
      <c r="A86" s="66" t="str">
        <f>IF(Bordero!B93="","",Bordero!B93)</f>
        <v/>
      </c>
      <c r="B86" s="66" t="str">
        <f>IF(Bordero!B93="","",Bordero!C93)</f>
        <v/>
      </c>
      <c r="C86" s="67" t="str">
        <f>IF(Bordero!B93="","",Bordero!D93)</f>
        <v/>
      </c>
      <c r="D86" s="4" t="str">
        <f>IF(Bordero!B93="","",Bordero!E93)</f>
        <v/>
      </c>
      <c r="E86" s="4" t="str">
        <f>IF(Bordero!B93="","",Bordero!F93)</f>
        <v/>
      </c>
      <c r="F86" s="70" t="str">
        <f>IF(Bordero!G93="","",Bordero!G93)</f>
        <v/>
      </c>
      <c r="G86" s="68" t="str">
        <f>IF(Bordero!H93="","",Bordero!H93)</f>
        <v/>
      </c>
      <c r="H86" s="71" t="str">
        <f>IF(Bordero!B93="","",Bordero!I93)</f>
        <v/>
      </c>
      <c r="I86" s="69" t="str">
        <f>IF(Bordero!J93="","",Bordero!J93)</f>
        <v/>
      </c>
    </row>
    <row r="87" spans="1:9" ht="18.75">
      <c r="A87" s="66" t="str">
        <f>IF(Bordero!B94="","",Bordero!B94)</f>
        <v/>
      </c>
      <c r="B87" s="66" t="str">
        <f>IF(Bordero!B94="","",Bordero!C94)</f>
        <v/>
      </c>
      <c r="C87" s="67" t="str">
        <f>IF(Bordero!B94="","",Bordero!D94)</f>
        <v/>
      </c>
      <c r="D87" s="4" t="str">
        <f>IF(Bordero!B94="","",Bordero!E94)</f>
        <v/>
      </c>
      <c r="E87" s="4" t="str">
        <f>IF(Bordero!B94="","",Bordero!F94)</f>
        <v/>
      </c>
      <c r="F87" s="70" t="str">
        <f>IF(Bordero!G94="","",Bordero!G94)</f>
        <v/>
      </c>
      <c r="G87" s="68" t="str">
        <f>IF(Bordero!H94="","",Bordero!H94)</f>
        <v/>
      </c>
      <c r="H87" s="71" t="str">
        <f>IF(Bordero!B94="","",Bordero!I94)</f>
        <v/>
      </c>
      <c r="I87" s="69" t="str">
        <f>IF(Bordero!J94="","",Bordero!J94)</f>
        <v/>
      </c>
    </row>
    <row r="88" spans="1:9" ht="18.75">
      <c r="A88" s="66" t="str">
        <f>IF(Bordero!B95="","",Bordero!B95)</f>
        <v/>
      </c>
      <c r="B88" s="66" t="str">
        <f>IF(Bordero!B95="","",Bordero!C95)</f>
        <v/>
      </c>
      <c r="C88" s="67" t="str">
        <f>IF(Bordero!B95="","",Bordero!D95)</f>
        <v/>
      </c>
      <c r="D88" s="4" t="str">
        <f>IF(Bordero!B95="","",Bordero!E95)</f>
        <v/>
      </c>
      <c r="E88" s="4" t="str">
        <f>IF(Bordero!B95="","",Bordero!F95)</f>
        <v/>
      </c>
      <c r="F88" s="70" t="str">
        <f>IF(Bordero!G95="","",Bordero!G95)</f>
        <v/>
      </c>
      <c r="G88" s="68" t="str">
        <f>IF(Bordero!H95="","",Bordero!H95)</f>
        <v/>
      </c>
      <c r="H88" s="71" t="str">
        <f>IF(Bordero!B95="","",Bordero!I95)</f>
        <v/>
      </c>
      <c r="I88" s="69" t="str">
        <f>IF(Bordero!J95="","",Bordero!J95)</f>
        <v/>
      </c>
    </row>
    <row r="89" spans="1:9" ht="18.75">
      <c r="A89" s="66" t="str">
        <f>IF(Bordero!B96="","",Bordero!B96)</f>
        <v/>
      </c>
      <c r="B89" s="66" t="str">
        <f>IF(Bordero!B96="","",Bordero!C96)</f>
        <v/>
      </c>
      <c r="C89" s="67" t="str">
        <f>IF(Bordero!B96="","",Bordero!D96)</f>
        <v/>
      </c>
      <c r="D89" s="4" t="str">
        <f>IF(Bordero!B96="","",Bordero!E96)</f>
        <v/>
      </c>
      <c r="E89" s="4" t="str">
        <f>IF(Bordero!B96="","",Bordero!F96)</f>
        <v/>
      </c>
      <c r="F89" s="70" t="str">
        <f>IF(Bordero!G96="","",Bordero!G96)</f>
        <v/>
      </c>
      <c r="G89" s="68" t="str">
        <f>IF(Bordero!H96="","",Bordero!H96)</f>
        <v/>
      </c>
      <c r="H89" s="71" t="str">
        <f>IF(Bordero!B96="","",Bordero!I96)</f>
        <v/>
      </c>
      <c r="I89" s="69" t="str">
        <f>IF(Bordero!J96="","",Bordero!J96)</f>
        <v/>
      </c>
    </row>
    <row r="90" spans="1:9" ht="18.75">
      <c r="A90" s="66" t="str">
        <f>IF(Bordero!B97="","",Bordero!B97)</f>
        <v/>
      </c>
      <c r="B90" s="66" t="str">
        <f>IF(Bordero!B97="","",Bordero!C97)</f>
        <v/>
      </c>
      <c r="C90" s="67" t="str">
        <f>IF(Bordero!B97="","",Bordero!D97)</f>
        <v/>
      </c>
      <c r="D90" s="4" t="str">
        <f>IF(Bordero!B97="","",Bordero!E97)</f>
        <v/>
      </c>
      <c r="E90" s="4" t="str">
        <f>IF(Bordero!B97="","",Bordero!F97)</f>
        <v/>
      </c>
      <c r="F90" s="70" t="str">
        <f>IF(Bordero!G97="","",Bordero!G97)</f>
        <v/>
      </c>
      <c r="G90" s="68" t="str">
        <f>IF(Bordero!H97="","",Bordero!H97)</f>
        <v/>
      </c>
      <c r="H90" s="71" t="str">
        <f>IF(Bordero!B97="","",Bordero!I97)</f>
        <v/>
      </c>
      <c r="I90" s="69" t="str">
        <f>IF(Bordero!J97="","",Bordero!J97)</f>
        <v/>
      </c>
    </row>
    <row r="91" spans="1:9" ht="18.75">
      <c r="A91" s="66" t="str">
        <f>IF(Bordero!B98="","",Bordero!B98)</f>
        <v/>
      </c>
      <c r="B91" s="66" t="str">
        <f>IF(Bordero!B98="","",Bordero!C98)</f>
        <v/>
      </c>
      <c r="C91" s="67" t="str">
        <f>IF(Bordero!B98="","",Bordero!D98)</f>
        <v/>
      </c>
      <c r="D91" s="4" t="str">
        <f>IF(Bordero!B98="","",Bordero!E98)</f>
        <v/>
      </c>
      <c r="E91" s="4" t="str">
        <f>IF(Bordero!B98="","",Bordero!F98)</f>
        <v/>
      </c>
      <c r="F91" s="70" t="str">
        <f>IF(Bordero!G98="","",Bordero!G98)</f>
        <v/>
      </c>
      <c r="G91" s="68" t="str">
        <f>IF(Bordero!H98="","",Bordero!H98)</f>
        <v/>
      </c>
      <c r="H91" s="71" t="str">
        <f>IF(Bordero!B98="","",Bordero!I98)</f>
        <v/>
      </c>
      <c r="I91" s="69" t="str">
        <f>IF(Bordero!J98="","",Bordero!J98)</f>
        <v/>
      </c>
    </row>
    <row r="92" spans="1:9" ht="18.75">
      <c r="A92" s="66" t="str">
        <f>IF(Bordero!B99="","",Bordero!B99)</f>
        <v/>
      </c>
      <c r="B92" s="66" t="str">
        <f>IF(Bordero!B99="","",Bordero!C99)</f>
        <v/>
      </c>
      <c r="C92" s="67" t="str">
        <f>IF(Bordero!B99="","",Bordero!D99)</f>
        <v/>
      </c>
      <c r="D92" s="4" t="str">
        <f>IF(Bordero!B99="","",Bordero!E99)</f>
        <v/>
      </c>
      <c r="E92" s="4" t="str">
        <f>IF(Bordero!B99="","",Bordero!F99)</f>
        <v/>
      </c>
      <c r="F92" s="70" t="str">
        <f>IF(Bordero!G99="","",Bordero!G99)</f>
        <v/>
      </c>
      <c r="G92" s="68" t="str">
        <f>IF(Bordero!H99="","",Bordero!H99)</f>
        <v/>
      </c>
      <c r="H92" s="71" t="str">
        <f>IF(Bordero!B99="","",Bordero!I99)</f>
        <v/>
      </c>
      <c r="I92" s="69" t="str">
        <f>IF(Bordero!J99="","",Bordero!J99)</f>
        <v/>
      </c>
    </row>
    <row r="93" spans="1:9" ht="18.75">
      <c r="A93" s="66" t="str">
        <f>IF(Bordero!B100="","",Bordero!B100)</f>
        <v/>
      </c>
      <c r="B93" s="66" t="str">
        <f>IF(Bordero!B100="","",Bordero!C100)</f>
        <v/>
      </c>
      <c r="C93" s="67" t="str">
        <f>IF(Bordero!B100="","",Bordero!D100)</f>
        <v/>
      </c>
      <c r="D93" s="4" t="str">
        <f>IF(Bordero!B100="","",Bordero!E100)</f>
        <v/>
      </c>
      <c r="E93" s="4" t="str">
        <f>IF(Bordero!B100="","",Bordero!F100)</f>
        <v/>
      </c>
      <c r="F93" s="70" t="str">
        <f>IF(Bordero!G100="","",Bordero!G100)</f>
        <v/>
      </c>
      <c r="G93" s="68" t="str">
        <f>IF(Bordero!H100="","",Bordero!H100)</f>
        <v/>
      </c>
      <c r="H93" s="71" t="str">
        <f>IF(Bordero!B100="","",Bordero!I100)</f>
        <v/>
      </c>
      <c r="I93" s="69" t="str">
        <f>IF(Bordero!J100="","",Bordero!J100)</f>
        <v/>
      </c>
    </row>
    <row r="94" spans="1:9" ht="18.75">
      <c r="A94" s="66" t="str">
        <f>IF(Bordero!B101="","",Bordero!B101)</f>
        <v/>
      </c>
      <c r="B94" s="66" t="str">
        <f>IF(Bordero!B101="","",Bordero!C101)</f>
        <v/>
      </c>
      <c r="C94" s="67" t="str">
        <f>IF(Bordero!B101="","",Bordero!D101)</f>
        <v/>
      </c>
      <c r="D94" s="4" t="str">
        <f>IF(Bordero!B101="","",Bordero!E101)</f>
        <v/>
      </c>
      <c r="E94" s="4" t="str">
        <f>IF(Bordero!B101="","",Bordero!F101)</f>
        <v/>
      </c>
      <c r="F94" s="70" t="str">
        <f>IF(Bordero!G101="","",Bordero!G101)</f>
        <v/>
      </c>
      <c r="G94" s="68" t="str">
        <f>IF(Bordero!H101="","",Bordero!H101)</f>
        <v/>
      </c>
      <c r="H94" s="71" t="str">
        <f>IF(Bordero!B101="","",Bordero!I101)</f>
        <v/>
      </c>
      <c r="I94" s="69" t="str">
        <f>IF(Bordero!J101="","",Bordero!J101)</f>
        <v/>
      </c>
    </row>
    <row r="95" spans="1:9" ht="18.75">
      <c r="A95" s="66" t="str">
        <f>IF(Bordero!B102="","",Bordero!B102)</f>
        <v/>
      </c>
      <c r="B95" s="66" t="str">
        <f>IF(Bordero!B102="","",Bordero!C102)</f>
        <v/>
      </c>
      <c r="C95" s="67" t="str">
        <f>IF(Bordero!B102="","",Bordero!D102)</f>
        <v/>
      </c>
      <c r="D95" s="4" t="str">
        <f>IF(Bordero!B102="","",Bordero!E102)</f>
        <v/>
      </c>
      <c r="E95" s="4" t="str">
        <f>IF(Bordero!B102="","",Bordero!F102)</f>
        <v/>
      </c>
      <c r="F95" s="70" t="str">
        <f>IF(Bordero!G102="","",Bordero!G102)</f>
        <v/>
      </c>
      <c r="G95" s="68" t="str">
        <f>IF(Bordero!H102="","",Bordero!H102)</f>
        <v/>
      </c>
      <c r="H95" s="71" t="str">
        <f>IF(Bordero!B102="","",Bordero!I102)</f>
        <v/>
      </c>
      <c r="I95" s="69" t="str">
        <f>IF(Bordero!J102="","",Bordero!J102)</f>
        <v/>
      </c>
    </row>
    <row r="96" spans="1:9" ht="18.75">
      <c r="A96" s="66" t="str">
        <f>IF(Bordero!B103="","",Bordero!B103)</f>
        <v/>
      </c>
      <c r="B96" s="66" t="str">
        <f>IF(Bordero!B103="","",Bordero!C103)</f>
        <v/>
      </c>
      <c r="C96" s="67" t="str">
        <f>IF(Bordero!B103="","",Bordero!D103)</f>
        <v/>
      </c>
      <c r="D96" s="4" t="str">
        <f>IF(Bordero!B103="","",Bordero!E103)</f>
        <v/>
      </c>
      <c r="E96" s="4" t="str">
        <f>IF(Bordero!B103="","",Bordero!F103)</f>
        <v/>
      </c>
      <c r="F96" s="70" t="str">
        <f>IF(Bordero!G103="","",Bordero!G103)</f>
        <v/>
      </c>
      <c r="G96" s="68" t="str">
        <f>IF(Bordero!H103="","",Bordero!H103)</f>
        <v/>
      </c>
      <c r="H96" s="71" t="str">
        <f>IF(Bordero!B103="","",Bordero!I103)</f>
        <v/>
      </c>
      <c r="I96" s="69" t="str">
        <f>IF(Bordero!J103="","",Bordero!J103)</f>
        <v/>
      </c>
    </row>
    <row r="97" spans="1:9" ht="18.75">
      <c r="A97" s="66" t="str">
        <f>IF(Bordero!B104="","",Bordero!B104)</f>
        <v/>
      </c>
      <c r="B97" s="66" t="str">
        <f>IF(Bordero!B104="","",Bordero!C104)</f>
        <v/>
      </c>
      <c r="C97" s="67" t="str">
        <f>IF(Bordero!B104="","",Bordero!D104)</f>
        <v/>
      </c>
      <c r="D97" s="4" t="str">
        <f>IF(Bordero!B104="","",Bordero!E104)</f>
        <v/>
      </c>
      <c r="E97" s="4" t="str">
        <f>IF(Bordero!B104="","",Bordero!F104)</f>
        <v/>
      </c>
      <c r="F97" s="70" t="str">
        <f>IF(Bordero!G104="","",Bordero!G104)</f>
        <v/>
      </c>
      <c r="G97" s="68" t="str">
        <f>IF(Bordero!H104="","",Bordero!H104)</f>
        <v/>
      </c>
      <c r="H97" s="71" t="str">
        <f>IF(Bordero!B104="","",Bordero!I104)</f>
        <v/>
      </c>
      <c r="I97" s="69" t="str">
        <f>IF(Bordero!J104="","",Bordero!J104)</f>
        <v/>
      </c>
    </row>
    <row r="98" spans="1:9" ht="18.75">
      <c r="A98" s="66" t="str">
        <f>IF(Bordero!B105="","",Bordero!B105)</f>
        <v/>
      </c>
      <c r="B98" s="66" t="str">
        <f>IF(Bordero!B105="","",Bordero!C105)</f>
        <v/>
      </c>
      <c r="C98" s="67" t="str">
        <f>IF(Bordero!B105="","",Bordero!D105)</f>
        <v/>
      </c>
      <c r="D98" s="4" t="str">
        <f>IF(Bordero!B105="","",Bordero!E105)</f>
        <v/>
      </c>
      <c r="E98" s="4" t="str">
        <f>IF(Bordero!B105="","",Bordero!F105)</f>
        <v/>
      </c>
      <c r="F98" s="70" t="str">
        <f>IF(Bordero!G105="","",Bordero!G105)</f>
        <v/>
      </c>
      <c r="G98" s="68" t="str">
        <f>IF(Bordero!H105="","",Bordero!H105)</f>
        <v/>
      </c>
      <c r="H98" s="71" t="str">
        <f>IF(Bordero!B105="","",Bordero!I105)</f>
        <v/>
      </c>
      <c r="I98" s="69" t="str">
        <f>IF(Bordero!J105="","",Bordero!J105)</f>
        <v/>
      </c>
    </row>
    <row r="99" spans="1:9" ht="18.75">
      <c r="A99" s="66" t="str">
        <f>IF(Bordero!B106="","",Bordero!B106)</f>
        <v/>
      </c>
      <c r="B99" s="66" t="str">
        <f>IF(Bordero!B106="","",Bordero!C106)</f>
        <v/>
      </c>
      <c r="C99" s="67" t="str">
        <f>IF(Bordero!B106="","",Bordero!D106)</f>
        <v/>
      </c>
      <c r="D99" s="4" t="str">
        <f>IF(Bordero!B106="","",Bordero!E106)</f>
        <v/>
      </c>
      <c r="E99" s="4" t="str">
        <f>IF(Bordero!B106="","",Bordero!F106)</f>
        <v/>
      </c>
      <c r="F99" s="70" t="str">
        <f>IF(Bordero!G106="","",Bordero!G106)</f>
        <v/>
      </c>
      <c r="G99" s="68" t="str">
        <f>IF(Bordero!H106="","",Bordero!H106)</f>
        <v/>
      </c>
      <c r="H99" s="71" t="str">
        <f>IF(Bordero!B106="","",Bordero!I106)</f>
        <v/>
      </c>
      <c r="I99" s="69" t="str">
        <f>IF(Bordero!J106="","",Bordero!J106)</f>
        <v/>
      </c>
    </row>
    <row r="100" spans="1:9" ht="18.75">
      <c r="A100" s="66" t="str">
        <f>IF(Bordero!B107="","",Bordero!B107)</f>
        <v/>
      </c>
      <c r="B100" s="66" t="str">
        <f>IF(Bordero!B107="","",Bordero!C107)</f>
        <v/>
      </c>
      <c r="C100" s="67" t="str">
        <f>IF(Bordero!B107="","",Bordero!D107)</f>
        <v/>
      </c>
      <c r="D100" s="4" t="str">
        <f>IF(Bordero!B107="","",Bordero!E107)</f>
        <v/>
      </c>
      <c r="E100" s="4" t="str">
        <f>IF(Bordero!B107="","",Bordero!F107)</f>
        <v/>
      </c>
      <c r="F100" s="70" t="str">
        <f>IF(Bordero!G107="","",Bordero!G107)</f>
        <v/>
      </c>
      <c r="G100" s="68" t="str">
        <f>IF(Bordero!H107="","",Bordero!H107)</f>
        <v/>
      </c>
      <c r="H100" s="71" t="str">
        <f>IF(Bordero!B107="","",Bordero!I107)</f>
        <v/>
      </c>
      <c r="I100" s="69" t="str">
        <f>IF(Bordero!J107="","",Bordero!J107)</f>
        <v/>
      </c>
    </row>
    <row r="101" spans="1:9" ht="18.75">
      <c r="A101" s="66" t="str">
        <f>IF(Bordero!B108="","",Bordero!B108)</f>
        <v/>
      </c>
      <c r="B101" s="66" t="str">
        <f>IF(Bordero!B108="","",Bordero!C108)</f>
        <v/>
      </c>
      <c r="C101" s="67" t="str">
        <f>IF(Bordero!B108="","",Bordero!D108)</f>
        <v/>
      </c>
      <c r="D101" s="4" t="str">
        <f>IF(Bordero!B108="","",Bordero!E108)</f>
        <v/>
      </c>
      <c r="E101" s="4" t="str">
        <f>IF(Bordero!B108="","",Bordero!F108)</f>
        <v/>
      </c>
      <c r="F101" s="70" t="str">
        <f>IF(Bordero!G108="","",Bordero!G108)</f>
        <v/>
      </c>
      <c r="G101" s="68" t="str">
        <f>IF(Bordero!H108="","",Bordero!H108)</f>
        <v/>
      </c>
      <c r="H101" s="71" t="str">
        <f>IF(Bordero!B108="","",Bordero!I108)</f>
        <v/>
      </c>
      <c r="I101" s="69" t="str">
        <f>IF(Bordero!J108="","",Bordero!J108)</f>
        <v/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Button 1">
              <controlPr defaultSize="0" print="0" autoFill="0" autoPict="0" macro="[0]!ExportarS">
                <anchor moveWithCells="1" sizeWithCells="1">
                  <from>
                    <xdr:col>8</xdr:col>
                    <xdr:colOff>5010150</xdr:colOff>
                    <xdr:row>0</xdr:row>
                    <xdr:rowOff>9525</xdr:rowOff>
                  </from>
                  <to>
                    <xdr:col>10</xdr:col>
                    <xdr:colOff>0</xdr:colOff>
                    <xdr:row>0</xdr:row>
                    <xdr:rowOff>581025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D864-DA4B-4DCE-93AE-FBB3D1DDABF2}">
  <sheetPr codeName="Planilha9"/>
  <dimension ref="A1:N105"/>
  <sheetViews>
    <sheetView topLeftCell="D1" workbookViewId="0">
      <selection activeCell="M5" sqref="M5"/>
    </sheetView>
  </sheetViews>
  <sheetFormatPr defaultColWidth="8.85546875" defaultRowHeight="12.75"/>
  <cols>
    <col min="1" max="1" width="34.140625" style="118" bestFit="1" customWidth="1"/>
    <col min="2" max="2" width="48.85546875" style="113" bestFit="1" customWidth="1"/>
    <col min="3" max="3" width="47.28515625" style="113" bestFit="1" customWidth="1"/>
    <col min="4" max="4" width="6" style="119" customWidth="1"/>
    <col min="5" max="5" width="30.7109375" style="113" bestFit="1" customWidth="1"/>
    <col min="6" max="6" width="26.140625" style="113" bestFit="1" customWidth="1"/>
    <col min="7" max="7" width="22.7109375" style="113" bestFit="1" customWidth="1"/>
    <col min="8" max="8" width="9" style="113" bestFit="1" customWidth="1"/>
    <col min="9" max="9" width="16.5703125" style="118" bestFit="1" customWidth="1"/>
    <col min="10" max="10" width="14.28515625" style="120" bestFit="1" customWidth="1"/>
    <col min="11" max="11" width="12.140625" style="121" bestFit="1" customWidth="1"/>
    <col min="12" max="12" width="8.28515625" style="117" bestFit="1" customWidth="1"/>
    <col min="13" max="13" width="7.140625" style="113" bestFit="1" customWidth="1"/>
    <col min="14" max="14" width="43.7109375" style="113" bestFit="1" customWidth="1"/>
    <col min="15" max="256" width="8.85546875" style="113"/>
    <col min="257" max="257" width="34.140625" style="113" bestFit="1" customWidth="1"/>
    <col min="258" max="258" width="48.85546875" style="113" bestFit="1" customWidth="1"/>
    <col min="259" max="259" width="47.28515625" style="113" bestFit="1" customWidth="1"/>
    <col min="260" max="260" width="6" style="113" customWidth="1"/>
    <col min="261" max="261" width="30.7109375" style="113" bestFit="1" customWidth="1"/>
    <col min="262" max="262" width="26.140625" style="113" bestFit="1" customWidth="1"/>
    <col min="263" max="263" width="22.7109375" style="113" bestFit="1" customWidth="1"/>
    <col min="264" max="264" width="9" style="113" bestFit="1" customWidth="1"/>
    <col min="265" max="265" width="16.5703125" style="113" bestFit="1" customWidth="1"/>
    <col min="266" max="266" width="14.28515625" style="113" bestFit="1" customWidth="1"/>
    <col min="267" max="267" width="12.140625" style="113" bestFit="1" customWidth="1"/>
    <col min="268" max="268" width="8.28515625" style="113" bestFit="1" customWidth="1"/>
    <col min="269" max="269" width="7.140625" style="113" bestFit="1" customWidth="1"/>
    <col min="270" max="270" width="43.7109375" style="113" bestFit="1" customWidth="1"/>
    <col min="271" max="512" width="8.85546875" style="113"/>
    <col min="513" max="513" width="34.140625" style="113" bestFit="1" customWidth="1"/>
    <col min="514" max="514" width="48.85546875" style="113" bestFit="1" customWidth="1"/>
    <col min="515" max="515" width="47.28515625" style="113" bestFit="1" customWidth="1"/>
    <col min="516" max="516" width="6" style="113" customWidth="1"/>
    <col min="517" max="517" width="30.7109375" style="113" bestFit="1" customWidth="1"/>
    <col min="518" max="518" width="26.140625" style="113" bestFit="1" customWidth="1"/>
    <col min="519" max="519" width="22.7109375" style="113" bestFit="1" customWidth="1"/>
    <col min="520" max="520" width="9" style="113" bestFit="1" customWidth="1"/>
    <col min="521" max="521" width="16.5703125" style="113" bestFit="1" customWidth="1"/>
    <col min="522" max="522" width="14.28515625" style="113" bestFit="1" customWidth="1"/>
    <col min="523" max="523" width="12.140625" style="113" bestFit="1" customWidth="1"/>
    <col min="524" max="524" width="8.28515625" style="113" bestFit="1" customWidth="1"/>
    <col min="525" max="525" width="7.140625" style="113" bestFit="1" customWidth="1"/>
    <col min="526" max="526" width="43.7109375" style="113" bestFit="1" customWidth="1"/>
    <col min="527" max="768" width="8.85546875" style="113"/>
    <col min="769" max="769" width="34.140625" style="113" bestFit="1" customWidth="1"/>
    <col min="770" max="770" width="48.85546875" style="113" bestFit="1" customWidth="1"/>
    <col min="771" max="771" width="47.28515625" style="113" bestFit="1" customWidth="1"/>
    <col min="772" max="772" width="6" style="113" customWidth="1"/>
    <col min="773" max="773" width="30.7109375" style="113" bestFit="1" customWidth="1"/>
    <col min="774" max="774" width="26.140625" style="113" bestFit="1" customWidth="1"/>
    <col min="775" max="775" width="22.7109375" style="113" bestFit="1" customWidth="1"/>
    <col min="776" max="776" width="9" style="113" bestFit="1" customWidth="1"/>
    <col min="777" max="777" width="16.5703125" style="113" bestFit="1" customWidth="1"/>
    <col min="778" max="778" width="14.28515625" style="113" bestFit="1" customWidth="1"/>
    <col min="779" max="779" width="12.140625" style="113" bestFit="1" customWidth="1"/>
    <col min="780" max="780" width="8.28515625" style="113" bestFit="1" customWidth="1"/>
    <col min="781" max="781" width="7.140625" style="113" bestFit="1" customWidth="1"/>
    <col min="782" max="782" width="43.7109375" style="113" bestFit="1" customWidth="1"/>
    <col min="783" max="1024" width="8.85546875" style="113"/>
    <col min="1025" max="1025" width="34.140625" style="113" bestFit="1" customWidth="1"/>
    <col min="1026" max="1026" width="48.85546875" style="113" bestFit="1" customWidth="1"/>
    <col min="1027" max="1027" width="47.28515625" style="113" bestFit="1" customWidth="1"/>
    <col min="1028" max="1028" width="6" style="113" customWidth="1"/>
    <col min="1029" max="1029" width="30.7109375" style="113" bestFit="1" customWidth="1"/>
    <col min="1030" max="1030" width="26.140625" style="113" bestFit="1" customWidth="1"/>
    <col min="1031" max="1031" width="22.7109375" style="113" bestFit="1" customWidth="1"/>
    <col min="1032" max="1032" width="9" style="113" bestFit="1" customWidth="1"/>
    <col min="1033" max="1033" width="16.5703125" style="113" bestFit="1" customWidth="1"/>
    <col min="1034" max="1034" width="14.28515625" style="113" bestFit="1" customWidth="1"/>
    <col min="1035" max="1035" width="12.140625" style="113" bestFit="1" customWidth="1"/>
    <col min="1036" max="1036" width="8.28515625" style="113" bestFit="1" customWidth="1"/>
    <col min="1037" max="1037" width="7.140625" style="113" bestFit="1" customWidth="1"/>
    <col min="1038" max="1038" width="43.7109375" style="113" bestFit="1" customWidth="1"/>
    <col min="1039" max="1280" width="8.85546875" style="113"/>
    <col min="1281" max="1281" width="34.140625" style="113" bestFit="1" customWidth="1"/>
    <col min="1282" max="1282" width="48.85546875" style="113" bestFit="1" customWidth="1"/>
    <col min="1283" max="1283" width="47.28515625" style="113" bestFit="1" customWidth="1"/>
    <col min="1284" max="1284" width="6" style="113" customWidth="1"/>
    <col min="1285" max="1285" width="30.7109375" style="113" bestFit="1" customWidth="1"/>
    <col min="1286" max="1286" width="26.140625" style="113" bestFit="1" customWidth="1"/>
    <col min="1287" max="1287" width="22.7109375" style="113" bestFit="1" customWidth="1"/>
    <col min="1288" max="1288" width="9" style="113" bestFit="1" customWidth="1"/>
    <col min="1289" max="1289" width="16.5703125" style="113" bestFit="1" customWidth="1"/>
    <col min="1290" max="1290" width="14.28515625" style="113" bestFit="1" customWidth="1"/>
    <col min="1291" max="1291" width="12.140625" style="113" bestFit="1" customWidth="1"/>
    <col min="1292" max="1292" width="8.28515625" style="113" bestFit="1" customWidth="1"/>
    <col min="1293" max="1293" width="7.140625" style="113" bestFit="1" customWidth="1"/>
    <col min="1294" max="1294" width="43.7109375" style="113" bestFit="1" customWidth="1"/>
    <col min="1295" max="1536" width="8.85546875" style="113"/>
    <col min="1537" max="1537" width="34.140625" style="113" bestFit="1" customWidth="1"/>
    <col min="1538" max="1538" width="48.85546875" style="113" bestFit="1" customWidth="1"/>
    <col min="1539" max="1539" width="47.28515625" style="113" bestFit="1" customWidth="1"/>
    <col min="1540" max="1540" width="6" style="113" customWidth="1"/>
    <col min="1541" max="1541" width="30.7109375" style="113" bestFit="1" customWidth="1"/>
    <col min="1542" max="1542" width="26.140625" style="113" bestFit="1" customWidth="1"/>
    <col min="1543" max="1543" width="22.7109375" style="113" bestFit="1" customWidth="1"/>
    <col min="1544" max="1544" width="9" style="113" bestFit="1" customWidth="1"/>
    <col min="1545" max="1545" width="16.5703125" style="113" bestFit="1" customWidth="1"/>
    <col min="1546" max="1546" width="14.28515625" style="113" bestFit="1" customWidth="1"/>
    <col min="1547" max="1547" width="12.140625" style="113" bestFit="1" customWidth="1"/>
    <col min="1548" max="1548" width="8.28515625" style="113" bestFit="1" customWidth="1"/>
    <col min="1549" max="1549" width="7.140625" style="113" bestFit="1" customWidth="1"/>
    <col min="1550" max="1550" width="43.7109375" style="113" bestFit="1" customWidth="1"/>
    <col min="1551" max="1792" width="8.85546875" style="113"/>
    <col min="1793" max="1793" width="34.140625" style="113" bestFit="1" customWidth="1"/>
    <col min="1794" max="1794" width="48.85546875" style="113" bestFit="1" customWidth="1"/>
    <col min="1795" max="1795" width="47.28515625" style="113" bestFit="1" customWidth="1"/>
    <col min="1796" max="1796" width="6" style="113" customWidth="1"/>
    <col min="1797" max="1797" width="30.7109375" style="113" bestFit="1" customWidth="1"/>
    <col min="1798" max="1798" width="26.140625" style="113" bestFit="1" customWidth="1"/>
    <col min="1799" max="1799" width="22.7109375" style="113" bestFit="1" customWidth="1"/>
    <col min="1800" max="1800" width="9" style="113" bestFit="1" customWidth="1"/>
    <col min="1801" max="1801" width="16.5703125" style="113" bestFit="1" customWidth="1"/>
    <col min="1802" max="1802" width="14.28515625" style="113" bestFit="1" customWidth="1"/>
    <col min="1803" max="1803" width="12.140625" style="113" bestFit="1" customWidth="1"/>
    <col min="1804" max="1804" width="8.28515625" style="113" bestFit="1" customWidth="1"/>
    <col min="1805" max="1805" width="7.140625" style="113" bestFit="1" customWidth="1"/>
    <col min="1806" max="1806" width="43.7109375" style="113" bestFit="1" customWidth="1"/>
    <col min="1807" max="2048" width="8.85546875" style="113"/>
    <col min="2049" max="2049" width="34.140625" style="113" bestFit="1" customWidth="1"/>
    <col min="2050" max="2050" width="48.85546875" style="113" bestFit="1" customWidth="1"/>
    <col min="2051" max="2051" width="47.28515625" style="113" bestFit="1" customWidth="1"/>
    <col min="2052" max="2052" width="6" style="113" customWidth="1"/>
    <col min="2053" max="2053" width="30.7109375" style="113" bestFit="1" customWidth="1"/>
    <col min="2054" max="2054" width="26.140625" style="113" bestFit="1" customWidth="1"/>
    <col min="2055" max="2055" width="22.7109375" style="113" bestFit="1" customWidth="1"/>
    <col min="2056" max="2056" width="9" style="113" bestFit="1" customWidth="1"/>
    <col min="2057" max="2057" width="16.5703125" style="113" bestFit="1" customWidth="1"/>
    <col min="2058" max="2058" width="14.28515625" style="113" bestFit="1" customWidth="1"/>
    <col min="2059" max="2059" width="12.140625" style="113" bestFit="1" customWidth="1"/>
    <col min="2060" max="2060" width="8.28515625" style="113" bestFit="1" customWidth="1"/>
    <col min="2061" max="2061" width="7.140625" style="113" bestFit="1" customWidth="1"/>
    <col min="2062" max="2062" width="43.7109375" style="113" bestFit="1" customWidth="1"/>
    <col min="2063" max="2304" width="8.85546875" style="113"/>
    <col min="2305" max="2305" width="34.140625" style="113" bestFit="1" customWidth="1"/>
    <col min="2306" max="2306" width="48.85546875" style="113" bestFit="1" customWidth="1"/>
    <col min="2307" max="2307" width="47.28515625" style="113" bestFit="1" customWidth="1"/>
    <col min="2308" max="2308" width="6" style="113" customWidth="1"/>
    <col min="2309" max="2309" width="30.7109375" style="113" bestFit="1" customWidth="1"/>
    <col min="2310" max="2310" width="26.140625" style="113" bestFit="1" customWidth="1"/>
    <col min="2311" max="2311" width="22.7109375" style="113" bestFit="1" customWidth="1"/>
    <col min="2312" max="2312" width="9" style="113" bestFit="1" customWidth="1"/>
    <col min="2313" max="2313" width="16.5703125" style="113" bestFit="1" customWidth="1"/>
    <col min="2314" max="2314" width="14.28515625" style="113" bestFit="1" customWidth="1"/>
    <col min="2315" max="2315" width="12.140625" style="113" bestFit="1" customWidth="1"/>
    <col min="2316" max="2316" width="8.28515625" style="113" bestFit="1" customWidth="1"/>
    <col min="2317" max="2317" width="7.140625" style="113" bestFit="1" customWidth="1"/>
    <col min="2318" max="2318" width="43.7109375" style="113" bestFit="1" customWidth="1"/>
    <col min="2319" max="2560" width="8.85546875" style="113"/>
    <col min="2561" max="2561" width="34.140625" style="113" bestFit="1" customWidth="1"/>
    <col min="2562" max="2562" width="48.85546875" style="113" bestFit="1" customWidth="1"/>
    <col min="2563" max="2563" width="47.28515625" style="113" bestFit="1" customWidth="1"/>
    <col min="2564" max="2564" width="6" style="113" customWidth="1"/>
    <col min="2565" max="2565" width="30.7109375" style="113" bestFit="1" customWidth="1"/>
    <col min="2566" max="2566" width="26.140625" style="113" bestFit="1" customWidth="1"/>
    <col min="2567" max="2567" width="22.7109375" style="113" bestFit="1" customWidth="1"/>
    <col min="2568" max="2568" width="9" style="113" bestFit="1" customWidth="1"/>
    <col min="2569" max="2569" width="16.5703125" style="113" bestFit="1" customWidth="1"/>
    <col min="2570" max="2570" width="14.28515625" style="113" bestFit="1" customWidth="1"/>
    <col min="2571" max="2571" width="12.140625" style="113" bestFit="1" customWidth="1"/>
    <col min="2572" max="2572" width="8.28515625" style="113" bestFit="1" customWidth="1"/>
    <col min="2573" max="2573" width="7.140625" style="113" bestFit="1" customWidth="1"/>
    <col min="2574" max="2574" width="43.7109375" style="113" bestFit="1" customWidth="1"/>
    <col min="2575" max="2816" width="8.85546875" style="113"/>
    <col min="2817" max="2817" width="34.140625" style="113" bestFit="1" customWidth="1"/>
    <col min="2818" max="2818" width="48.85546875" style="113" bestFit="1" customWidth="1"/>
    <col min="2819" max="2819" width="47.28515625" style="113" bestFit="1" customWidth="1"/>
    <col min="2820" max="2820" width="6" style="113" customWidth="1"/>
    <col min="2821" max="2821" width="30.7109375" style="113" bestFit="1" customWidth="1"/>
    <col min="2822" max="2822" width="26.140625" style="113" bestFit="1" customWidth="1"/>
    <col min="2823" max="2823" width="22.7109375" style="113" bestFit="1" customWidth="1"/>
    <col min="2824" max="2824" width="9" style="113" bestFit="1" customWidth="1"/>
    <col min="2825" max="2825" width="16.5703125" style="113" bestFit="1" customWidth="1"/>
    <col min="2826" max="2826" width="14.28515625" style="113" bestFit="1" customWidth="1"/>
    <col min="2827" max="2827" width="12.140625" style="113" bestFit="1" customWidth="1"/>
    <col min="2828" max="2828" width="8.28515625" style="113" bestFit="1" customWidth="1"/>
    <col min="2829" max="2829" width="7.140625" style="113" bestFit="1" customWidth="1"/>
    <col min="2830" max="2830" width="43.7109375" style="113" bestFit="1" customWidth="1"/>
    <col min="2831" max="3072" width="8.85546875" style="113"/>
    <col min="3073" max="3073" width="34.140625" style="113" bestFit="1" customWidth="1"/>
    <col min="3074" max="3074" width="48.85546875" style="113" bestFit="1" customWidth="1"/>
    <col min="3075" max="3075" width="47.28515625" style="113" bestFit="1" customWidth="1"/>
    <col min="3076" max="3076" width="6" style="113" customWidth="1"/>
    <col min="3077" max="3077" width="30.7109375" style="113" bestFit="1" customWidth="1"/>
    <col min="3078" max="3078" width="26.140625" style="113" bestFit="1" customWidth="1"/>
    <col min="3079" max="3079" width="22.7109375" style="113" bestFit="1" customWidth="1"/>
    <col min="3080" max="3080" width="9" style="113" bestFit="1" customWidth="1"/>
    <col min="3081" max="3081" width="16.5703125" style="113" bestFit="1" customWidth="1"/>
    <col min="3082" max="3082" width="14.28515625" style="113" bestFit="1" customWidth="1"/>
    <col min="3083" max="3083" width="12.140625" style="113" bestFit="1" customWidth="1"/>
    <col min="3084" max="3084" width="8.28515625" style="113" bestFit="1" customWidth="1"/>
    <col min="3085" max="3085" width="7.140625" style="113" bestFit="1" customWidth="1"/>
    <col min="3086" max="3086" width="43.7109375" style="113" bestFit="1" customWidth="1"/>
    <col min="3087" max="3328" width="8.85546875" style="113"/>
    <col min="3329" max="3329" width="34.140625" style="113" bestFit="1" customWidth="1"/>
    <col min="3330" max="3330" width="48.85546875" style="113" bestFit="1" customWidth="1"/>
    <col min="3331" max="3331" width="47.28515625" style="113" bestFit="1" customWidth="1"/>
    <col min="3332" max="3332" width="6" style="113" customWidth="1"/>
    <col min="3333" max="3333" width="30.7109375" style="113" bestFit="1" customWidth="1"/>
    <col min="3334" max="3334" width="26.140625" style="113" bestFit="1" customWidth="1"/>
    <col min="3335" max="3335" width="22.7109375" style="113" bestFit="1" customWidth="1"/>
    <col min="3336" max="3336" width="9" style="113" bestFit="1" customWidth="1"/>
    <col min="3337" max="3337" width="16.5703125" style="113" bestFit="1" customWidth="1"/>
    <col min="3338" max="3338" width="14.28515625" style="113" bestFit="1" customWidth="1"/>
    <col min="3339" max="3339" width="12.140625" style="113" bestFit="1" customWidth="1"/>
    <col min="3340" max="3340" width="8.28515625" style="113" bestFit="1" customWidth="1"/>
    <col min="3341" max="3341" width="7.140625" style="113" bestFit="1" customWidth="1"/>
    <col min="3342" max="3342" width="43.7109375" style="113" bestFit="1" customWidth="1"/>
    <col min="3343" max="3584" width="8.85546875" style="113"/>
    <col min="3585" max="3585" width="34.140625" style="113" bestFit="1" customWidth="1"/>
    <col min="3586" max="3586" width="48.85546875" style="113" bestFit="1" customWidth="1"/>
    <col min="3587" max="3587" width="47.28515625" style="113" bestFit="1" customWidth="1"/>
    <col min="3588" max="3588" width="6" style="113" customWidth="1"/>
    <col min="3589" max="3589" width="30.7109375" style="113" bestFit="1" customWidth="1"/>
    <col min="3590" max="3590" width="26.140625" style="113" bestFit="1" customWidth="1"/>
    <col min="3591" max="3591" width="22.7109375" style="113" bestFit="1" customWidth="1"/>
    <col min="3592" max="3592" width="9" style="113" bestFit="1" customWidth="1"/>
    <col min="3593" max="3593" width="16.5703125" style="113" bestFit="1" customWidth="1"/>
    <col min="3594" max="3594" width="14.28515625" style="113" bestFit="1" customWidth="1"/>
    <col min="3595" max="3595" width="12.140625" style="113" bestFit="1" customWidth="1"/>
    <col min="3596" max="3596" width="8.28515625" style="113" bestFit="1" customWidth="1"/>
    <col min="3597" max="3597" width="7.140625" style="113" bestFit="1" customWidth="1"/>
    <col min="3598" max="3598" width="43.7109375" style="113" bestFit="1" customWidth="1"/>
    <col min="3599" max="3840" width="8.85546875" style="113"/>
    <col min="3841" max="3841" width="34.140625" style="113" bestFit="1" customWidth="1"/>
    <col min="3842" max="3842" width="48.85546875" style="113" bestFit="1" customWidth="1"/>
    <col min="3843" max="3843" width="47.28515625" style="113" bestFit="1" customWidth="1"/>
    <col min="3844" max="3844" width="6" style="113" customWidth="1"/>
    <col min="3845" max="3845" width="30.7109375" style="113" bestFit="1" customWidth="1"/>
    <col min="3846" max="3846" width="26.140625" style="113" bestFit="1" customWidth="1"/>
    <col min="3847" max="3847" width="22.7109375" style="113" bestFit="1" customWidth="1"/>
    <col min="3848" max="3848" width="9" style="113" bestFit="1" customWidth="1"/>
    <col min="3849" max="3849" width="16.5703125" style="113" bestFit="1" customWidth="1"/>
    <col min="3850" max="3850" width="14.28515625" style="113" bestFit="1" customWidth="1"/>
    <col min="3851" max="3851" width="12.140625" style="113" bestFit="1" customWidth="1"/>
    <col min="3852" max="3852" width="8.28515625" style="113" bestFit="1" customWidth="1"/>
    <col min="3853" max="3853" width="7.140625" style="113" bestFit="1" customWidth="1"/>
    <col min="3854" max="3854" width="43.7109375" style="113" bestFit="1" customWidth="1"/>
    <col min="3855" max="4096" width="8.85546875" style="113"/>
    <col min="4097" max="4097" width="34.140625" style="113" bestFit="1" customWidth="1"/>
    <col min="4098" max="4098" width="48.85546875" style="113" bestFit="1" customWidth="1"/>
    <col min="4099" max="4099" width="47.28515625" style="113" bestFit="1" customWidth="1"/>
    <col min="4100" max="4100" width="6" style="113" customWidth="1"/>
    <col min="4101" max="4101" width="30.7109375" style="113" bestFit="1" customWidth="1"/>
    <col min="4102" max="4102" width="26.140625" style="113" bestFit="1" customWidth="1"/>
    <col min="4103" max="4103" width="22.7109375" style="113" bestFit="1" customWidth="1"/>
    <col min="4104" max="4104" width="9" style="113" bestFit="1" customWidth="1"/>
    <col min="4105" max="4105" width="16.5703125" style="113" bestFit="1" customWidth="1"/>
    <col min="4106" max="4106" width="14.28515625" style="113" bestFit="1" customWidth="1"/>
    <col min="4107" max="4107" width="12.140625" style="113" bestFit="1" customWidth="1"/>
    <col min="4108" max="4108" width="8.28515625" style="113" bestFit="1" customWidth="1"/>
    <col min="4109" max="4109" width="7.140625" style="113" bestFit="1" customWidth="1"/>
    <col min="4110" max="4110" width="43.7109375" style="113" bestFit="1" customWidth="1"/>
    <col min="4111" max="4352" width="8.85546875" style="113"/>
    <col min="4353" max="4353" width="34.140625" style="113" bestFit="1" customWidth="1"/>
    <col min="4354" max="4354" width="48.85546875" style="113" bestFit="1" customWidth="1"/>
    <col min="4355" max="4355" width="47.28515625" style="113" bestFit="1" customWidth="1"/>
    <col min="4356" max="4356" width="6" style="113" customWidth="1"/>
    <col min="4357" max="4357" width="30.7109375" style="113" bestFit="1" customWidth="1"/>
    <col min="4358" max="4358" width="26.140625" style="113" bestFit="1" customWidth="1"/>
    <col min="4359" max="4359" width="22.7109375" style="113" bestFit="1" customWidth="1"/>
    <col min="4360" max="4360" width="9" style="113" bestFit="1" customWidth="1"/>
    <col min="4361" max="4361" width="16.5703125" style="113" bestFit="1" customWidth="1"/>
    <col min="4362" max="4362" width="14.28515625" style="113" bestFit="1" customWidth="1"/>
    <col min="4363" max="4363" width="12.140625" style="113" bestFit="1" customWidth="1"/>
    <col min="4364" max="4364" width="8.28515625" style="113" bestFit="1" customWidth="1"/>
    <col min="4365" max="4365" width="7.140625" style="113" bestFit="1" customWidth="1"/>
    <col min="4366" max="4366" width="43.7109375" style="113" bestFit="1" customWidth="1"/>
    <col min="4367" max="4608" width="8.85546875" style="113"/>
    <col min="4609" max="4609" width="34.140625" style="113" bestFit="1" customWidth="1"/>
    <col min="4610" max="4610" width="48.85546875" style="113" bestFit="1" customWidth="1"/>
    <col min="4611" max="4611" width="47.28515625" style="113" bestFit="1" customWidth="1"/>
    <col min="4612" max="4612" width="6" style="113" customWidth="1"/>
    <col min="4613" max="4613" width="30.7109375" style="113" bestFit="1" customWidth="1"/>
    <col min="4614" max="4614" width="26.140625" style="113" bestFit="1" customWidth="1"/>
    <col min="4615" max="4615" width="22.7109375" style="113" bestFit="1" customWidth="1"/>
    <col min="4616" max="4616" width="9" style="113" bestFit="1" customWidth="1"/>
    <col min="4617" max="4617" width="16.5703125" style="113" bestFit="1" customWidth="1"/>
    <col min="4618" max="4618" width="14.28515625" style="113" bestFit="1" customWidth="1"/>
    <col min="4619" max="4619" width="12.140625" style="113" bestFit="1" customWidth="1"/>
    <col min="4620" max="4620" width="8.28515625" style="113" bestFit="1" customWidth="1"/>
    <col min="4621" max="4621" width="7.140625" style="113" bestFit="1" customWidth="1"/>
    <col min="4622" max="4622" width="43.7109375" style="113" bestFit="1" customWidth="1"/>
    <col min="4623" max="4864" width="8.85546875" style="113"/>
    <col min="4865" max="4865" width="34.140625" style="113" bestFit="1" customWidth="1"/>
    <col min="4866" max="4866" width="48.85546875" style="113" bestFit="1" customWidth="1"/>
    <col min="4867" max="4867" width="47.28515625" style="113" bestFit="1" customWidth="1"/>
    <col min="4868" max="4868" width="6" style="113" customWidth="1"/>
    <col min="4869" max="4869" width="30.7109375" style="113" bestFit="1" customWidth="1"/>
    <col min="4870" max="4870" width="26.140625" style="113" bestFit="1" customWidth="1"/>
    <col min="4871" max="4871" width="22.7109375" style="113" bestFit="1" customWidth="1"/>
    <col min="4872" max="4872" width="9" style="113" bestFit="1" customWidth="1"/>
    <col min="4873" max="4873" width="16.5703125" style="113" bestFit="1" customWidth="1"/>
    <col min="4874" max="4874" width="14.28515625" style="113" bestFit="1" customWidth="1"/>
    <col min="4875" max="4875" width="12.140625" style="113" bestFit="1" customWidth="1"/>
    <col min="4876" max="4876" width="8.28515625" style="113" bestFit="1" customWidth="1"/>
    <col min="4877" max="4877" width="7.140625" style="113" bestFit="1" customWidth="1"/>
    <col min="4878" max="4878" width="43.7109375" style="113" bestFit="1" customWidth="1"/>
    <col min="4879" max="5120" width="8.85546875" style="113"/>
    <col min="5121" max="5121" width="34.140625" style="113" bestFit="1" customWidth="1"/>
    <col min="5122" max="5122" width="48.85546875" style="113" bestFit="1" customWidth="1"/>
    <col min="5123" max="5123" width="47.28515625" style="113" bestFit="1" customWidth="1"/>
    <col min="5124" max="5124" width="6" style="113" customWidth="1"/>
    <col min="5125" max="5125" width="30.7109375" style="113" bestFit="1" customWidth="1"/>
    <col min="5126" max="5126" width="26.140625" style="113" bestFit="1" customWidth="1"/>
    <col min="5127" max="5127" width="22.7109375" style="113" bestFit="1" customWidth="1"/>
    <col min="5128" max="5128" width="9" style="113" bestFit="1" customWidth="1"/>
    <col min="5129" max="5129" width="16.5703125" style="113" bestFit="1" customWidth="1"/>
    <col min="5130" max="5130" width="14.28515625" style="113" bestFit="1" customWidth="1"/>
    <col min="5131" max="5131" width="12.140625" style="113" bestFit="1" customWidth="1"/>
    <col min="5132" max="5132" width="8.28515625" style="113" bestFit="1" customWidth="1"/>
    <col min="5133" max="5133" width="7.140625" style="113" bestFit="1" customWidth="1"/>
    <col min="5134" max="5134" width="43.7109375" style="113" bestFit="1" customWidth="1"/>
    <col min="5135" max="5376" width="8.85546875" style="113"/>
    <col min="5377" max="5377" width="34.140625" style="113" bestFit="1" customWidth="1"/>
    <col min="5378" max="5378" width="48.85546875" style="113" bestFit="1" customWidth="1"/>
    <col min="5379" max="5379" width="47.28515625" style="113" bestFit="1" customWidth="1"/>
    <col min="5380" max="5380" width="6" style="113" customWidth="1"/>
    <col min="5381" max="5381" width="30.7109375" style="113" bestFit="1" customWidth="1"/>
    <col min="5382" max="5382" width="26.140625" style="113" bestFit="1" customWidth="1"/>
    <col min="5383" max="5383" width="22.7109375" style="113" bestFit="1" customWidth="1"/>
    <col min="5384" max="5384" width="9" style="113" bestFit="1" customWidth="1"/>
    <col min="5385" max="5385" width="16.5703125" style="113" bestFit="1" customWidth="1"/>
    <col min="5386" max="5386" width="14.28515625" style="113" bestFit="1" customWidth="1"/>
    <col min="5387" max="5387" width="12.140625" style="113" bestFit="1" customWidth="1"/>
    <col min="5388" max="5388" width="8.28515625" style="113" bestFit="1" customWidth="1"/>
    <col min="5389" max="5389" width="7.140625" style="113" bestFit="1" customWidth="1"/>
    <col min="5390" max="5390" width="43.7109375" style="113" bestFit="1" customWidth="1"/>
    <col min="5391" max="5632" width="8.85546875" style="113"/>
    <col min="5633" max="5633" width="34.140625" style="113" bestFit="1" customWidth="1"/>
    <col min="5634" max="5634" width="48.85546875" style="113" bestFit="1" customWidth="1"/>
    <col min="5635" max="5635" width="47.28515625" style="113" bestFit="1" customWidth="1"/>
    <col min="5636" max="5636" width="6" style="113" customWidth="1"/>
    <col min="5637" max="5637" width="30.7109375" style="113" bestFit="1" customWidth="1"/>
    <col min="5638" max="5638" width="26.140625" style="113" bestFit="1" customWidth="1"/>
    <col min="5639" max="5639" width="22.7109375" style="113" bestFit="1" customWidth="1"/>
    <col min="5640" max="5640" width="9" style="113" bestFit="1" customWidth="1"/>
    <col min="5641" max="5641" width="16.5703125" style="113" bestFit="1" customWidth="1"/>
    <col min="5642" max="5642" width="14.28515625" style="113" bestFit="1" customWidth="1"/>
    <col min="5643" max="5643" width="12.140625" style="113" bestFit="1" customWidth="1"/>
    <col min="5644" max="5644" width="8.28515625" style="113" bestFit="1" customWidth="1"/>
    <col min="5645" max="5645" width="7.140625" style="113" bestFit="1" customWidth="1"/>
    <col min="5646" max="5646" width="43.7109375" style="113" bestFit="1" customWidth="1"/>
    <col min="5647" max="5888" width="8.85546875" style="113"/>
    <col min="5889" max="5889" width="34.140625" style="113" bestFit="1" customWidth="1"/>
    <col min="5890" max="5890" width="48.85546875" style="113" bestFit="1" customWidth="1"/>
    <col min="5891" max="5891" width="47.28515625" style="113" bestFit="1" customWidth="1"/>
    <col min="5892" max="5892" width="6" style="113" customWidth="1"/>
    <col min="5893" max="5893" width="30.7109375" style="113" bestFit="1" customWidth="1"/>
    <col min="5894" max="5894" width="26.140625" style="113" bestFit="1" customWidth="1"/>
    <col min="5895" max="5895" width="22.7109375" style="113" bestFit="1" customWidth="1"/>
    <col min="5896" max="5896" width="9" style="113" bestFit="1" customWidth="1"/>
    <col min="5897" max="5897" width="16.5703125" style="113" bestFit="1" customWidth="1"/>
    <col min="5898" max="5898" width="14.28515625" style="113" bestFit="1" customWidth="1"/>
    <col min="5899" max="5899" width="12.140625" style="113" bestFit="1" customWidth="1"/>
    <col min="5900" max="5900" width="8.28515625" style="113" bestFit="1" customWidth="1"/>
    <col min="5901" max="5901" width="7.140625" style="113" bestFit="1" customWidth="1"/>
    <col min="5902" max="5902" width="43.7109375" style="113" bestFit="1" customWidth="1"/>
    <col min="5903" max="6144" width="8.85546875" style="113"/>
    <col min="6145" max="6145" width="34.140625" style="113" bestFit="1" customWidth="1"/>
    <col min="6146" max="6146" width="48.85546875" style="113" bestFit="1" customWidth="1"/>
    <col min="6147" max="6147" width="47.28515625" style="113" bestFit="1" customWidth="1"/>
    <col min="6148" max="6148" width="6" style="113" customWidth="1"/>
    <col min="6149" max="6149" width="30.7109375" style="113" bestFit="1" customWidth="1"/>
    <col min="6150" max="6150" width="26.140625" style="113" bestFit="1" customWidth="1"/>
    <col min="6151" max="6151" width="22.7109375" style="113" bestFit="1" customWidth="1"/>
    <col min="6152" max="6152" width="9" style="113" bestFit="1" customWidth="1"/>
    <col min="6153" max="6153" width="16.5703125" style="113" bestFit="1" customWidth="1"/>
    <col min="6154" max="6154" width="14.28515625" style="113" bestFit="1" customWidth="1"/>
    <col min="6155" max="6155" width="12.140625" style="113" bestFit="1" customWidth="1"/>
    <col min="6156" max="6156" width="8.28515625" style="113" bestFit="1" customWidth="1"/>
    <col min="6157" max="6157" width="7.140625" style="113" bestFit="1" customWidth="1"/>
    <col min="6158" max="6158" width="43.7109375" style="113" bestFit="1" customWidth="1"/>
    <col min="6159" max="6400" width="8.85546875" style="113"/>
    <col min="6401" max="6401" width="34.140625" style="113" bestFit="1" customWidth="1"/>
    <col min="6402" max="6402" width="48.85546875" style="113" bestFit="1" customWidth="1"/>
    <col min="6403" max="6403" width="47.28515625" style="113" bestFit="1" customWidth="1"/>
    <col min="6404" max="6404" width="6" style="113" customWidth="1"/>
    <col min="6405" max="6405" width="30.7109375" style="113" bestFit="1" customWidth="1"/>
    <col min="6406" max="6406" width="26.140625" style="113" bestFit="1" customWidth="1"/>
    <col min="6407" max="6407" width="22.7109375" style="113" bestFit="1" customWidth="1"/>
    <col min="6408" max="6408" width="9" style="113" bestFit="1" customWidth="1"/>
    <col min="6409" max="6409" width="16.5703125" style="113" bestFit="1" customWidth="1"/>
    <col min="6410" max="6410" width="14.28515625" style="113" bestFit="1" customWidth="1"/>
    <col min="6411" max="6411" width="12.140625" style="113" bestFit="1" customWidth="1"/>
    <col min="6412" max="6412" width="8.28515625" style="113" bestFit="1" customWidth="1"/>
    <col min="6413" max="6413" width="7.140625" style="113" bestFit="1" customWidth="1"/>
    <col min="6414" max="6414" width="43.7109375" style="113" bestFit="1" customWidth="1"/>
    <col min="6415" max="6656" width="8.85546875" style="113"/>
    <col min="6657" max="6657" width="34.140625" style="113" bestFit="1" customWidth="1"/>
    <col min="6658" max="6658" width="48.85546875" style="113" bestFit="1" customWidth="1"/>
    <col min="6659" max="6659" width="47.28515625" style="113" bestFit="1" customWidth="1"/>
    <col min="6660" max="6660" width="6" style="113" customWidth="1"/>
    <col min="6661" max="6661" width="30.7109375" style="113" bestFit="1" customWidth="1"/>
    <col min="6662" max="6662" width="26.140625" style="113" bestFit="1" customWidth="1"/>
    <col min="6663" max="6663" width="22.7109375" style="113" bestFit="1" customWidth="1"/>
    <col min="6664" max="6664" width="9" style="113" bestFit="1" customWidth="1"/>
    <col min="6665" max="6665" width="16.5703125" style="113" bestFit="1" customWidth="1"/>
    <col min="6666" max="6666" width="14.28515625" style="113" bestFit="1" customWidth="1"/>
    <col min="6667" max="6667" width="12.140625" style="113" bestFit="1" customWidth="1"/>
    <col min="6668" max="6668" width="8.28515625" style="113" bestFit="1" customWidth="1"/>
    <col min="6669" max="6669" width="7.140625" style="113" bestFit="1" customWidth="1"/>
    <col min="6670" max="6670" width="43.7109375" style="113" bestFit="1" customWidth="1"/>
    <col min="6671" max="6912" width="8.85546875" style="113"/>
    <col min="6913" max="6913" width="34.140625" style="113" bestFit="1" customWidth="1"/>
    <col min="6914" max="6914" width="48.85546875" style="113" bestFit="1" customWidth="1"/>
    <col min="6915" max="6915" width="47.28515625" style="113" bestFit="1" customWidth="1"/>
    <col min="6916" max="6916" width="6" style="113" customWidth="1"/>
    <col min="6917" max="6917" width="30.7109375" style="113" bestFit="1" customWidth="1"/>
    <col min="6918" max="6918" width="26.140625" style="113" bestFit="1" customWidth="1"/>
    <col min="6919" max="6919" width="22.7109375" style="113" bestFit="1" customWidth="1"/>
    <col min="6920" max="6920" width="9" style="113" bestFit="1" customWidth="1"/>
    <col min="6921" max="6921" width="16.5703125" style="113" bestFit="1" customWidth="1"/>
    <col min="6922" max="6922" width="14.28515625" style="113" bestFit="1" customWidth="1"/>
    <col min="6923" max="6923" width="12.140625" style="113" bestFit="1" customWidth="1"/>
    <col min="6924" max="6924" width="8.28515625" style="113" bestFit="1" customWidth="1"/>
    <col min="6925" max="6925" width="7.140625" style="113" bestFit="1" customWidth="1"/>
    <col min="6926" max="6926" width="43.7109375" style="113" bestFit="1" customWidth="1"/>
    <col min="6927" max="7168" width="8.85546875" style="113"/>
    <col min="7169" max="7169" width="34.140625" style="113" bestFit="1" customWidth="1"/>
    <col min="7170" max="7170" width="48.85546875" style="113" bestFit="1" customWidth="1"/>
    <col min="7171" max="7171" width="47.28515625" style="113" bestFit="1" customWidth="1"/>
    <col min="7172" max="7172" width="6" style="113" customWidth="1"/>
    <col min="7173" max="7173" width="30.7109375" style="113" bestFit="1" customWidth="1"/>
    <col min="7174" max="7174" width="26.140625" style="113" bestFit="1" customWidth="1"/>
    <col min="7175" max="7175" width="22.7109375" style="113" bestFit="1" customWidth="1"/>
    <col min="7176" max="7176" width="9" style="113" bestFit="1" customWidth="1"/>
    <col min="7177" max="7177" width="16.5703125" style="113" bestFit="1" customWidth="1"/>
    <col min="7178" max="7178" width="14.28515625" style="113" bestFit="1" customWidth="1"/>
    <col min="7179" max="7179" width="12.140625" style="113" bestFit="1" customWidth="1"/>
    <col min="7180" max="7180" width="8.28515625" style="113" bestFit="1" customWidth="1"/>
    <col min="7181" max="7181" width="7.140625" style="113" bestFit="1" customWidth="1"/>
    <col min="7182" max="7182" width="43.7109375" style="113" bestFit="1" customWidth="1"/>
    <col min="7183" max="7424" width="8.85546875" style="113"/>
    <col min="7425" max="7425" width="34.140625" style="113" bestFit="1" customWidth="1"/>
    <col min="7426" max="7426" width="48.85546875" style="113" bestFit="1" customWidth="1"/>
    <col min="7427" max="7427" width="47.28515625" style="113" bestFit="1" customWidth="1"/>
    <col min="7428" max="7428" width="6" style="113" customWidth="1"/>
    <col min="7429" max="7429" width="30.7109375" style="113" bestFit="1" customWidth="1"/>
    <col min="7430" max="7430" width="26.140625" style="113" bestFit="1" customWidth="1"/>
    <col min="7431" max="7431" width="22.7109375" style="113" bestFit="1" customWidth="1"/>
    <col min="7432" max="7432" width="9" style="113" bestFit="1" customWidth="1"/>
    <col min="7433" max="7433" width="16.5703125" style="113" bestFit="1" customWidth="1"/>
    <col min="7434" max="7434" width="14.28515625" style="113" bestFit="1" customWidth="1"/>
    <col min="7435" max="7435" width="12.140625" style="113" bestFit="1" customWidth="1"/>
    <col min="7436" max="7436" width="8.28515625" style="113" bestFit="1" customWidth="1"/>
    <col min="7437" max="7437" width="7.140625" style="113" bestFit="1" customWidth="1"/>
    <col min="7438" max="7438" width="43.7109375" style="113" bestFit="1" customWidth="1"/>
    <col min="7439" max="7680" width="8.85546875" style="113"/>
    <col min="7681" max="7681" width="34.140625" style="113" bestFit="1" customWidth="1"/>
    <col min="7682" max="7682" width="48.85546875" style="113" bestFit="1" customWidth="1"/>
    <col min="7683" max="7683" width="47.28515625" style="113" bestFit="1" customWidth="1"/>
    <col min="7684" max="7684" width="6" style="113" customWidth="1"/>
    <col min="7685" max="7685" width="30.7109375" style="113" bestFit="1" customWidth="1"/>
    <col min="7686" max="7686" width="26.140625" style="113" bestFit="1" customWidth="1"/>
    <col min="7687" max="7687" width="22.7109375" style="113" bestFit="1" customWidth="1"/>
    <col min="7688" max="7688" width="9" style="113" bestFit="1" customWidth="1"/>
    <col min="7689" max="7689" width="16.5703125" style="113" bestFit="1" customWidth="1"/>
    <col min="7690" max="7690" width="14.28515625" style="113" bestFit="1" customWidth="1"/>
    <col min="7691" max="7691" width="12.140625" style="113" bestFit="1" customWidth="1"/>
    <col min="7692" max="7692" width="8.28515625" style="113" bestFit="1" customWidth="1"/>
    <col min="7693" max="7693" width="7.140625" style="113" bestFit="1" customWidth="1"/>
    <col min="7694" max="7694" width="43.7109375" style="113" bestFit="1" customWidth="1"/>
    <col min="7695" max="7936" width="8.85546875" style="113"/>
    <col min="7937" max="7937" width="34.140625" style="113" bestFit="1" customWidth="1"/>
    <col min="7938" max="7938" width="48.85546875" style="113" bestFit="1" customWidth="1"/>
    <col min="7939" max="7939" width="47.28515625" style="113" bestFit="1" customWidth="1"/>
    <col min="7940" max="7940" width="6" style="113" customWidth="1"/>
    <col min="7941" max="7941" width="30.7109375" style="113" bestFit="1" customWidth="1"/>
    <col min="7942" max="7942" width="26.140625" style="113" bestFit="1" customWidth="1"/>
    <col min="7943" max="7943" width="22.7109375" style="113" bestFit="1" customWidth="1"/>
    <col min="7944" max="7944" width="9" style="113" bestFit="1" customWidth="1"/>
    <col min="7945" max="7945" width="16.5703125" style="113" bestFit="1" customWidth="1"/>
    <col min="7946" max="7946" width="14.28515625" style="113" bestFit="1" customWidth="1"/>
    <col min="7947" max="7947" width="12.140625" style="113" bestFit="1" customWidth="1"/>
    <col min="7948" max="7948" width="8.28515625" style="113" bestFit="1" customWidth="1"/>
    <col min="7949" max="7949" width="7.140625" style="113" bestFit="1" customWidth="1"/>
    <col min="7950" max="7950" width="43.7109375" style="113" bestFit="1" customWidth="1"/>
    <col min="7951" max="8192" width="8.85546875" style="113"/>
    <col min="8193" max="8193" width="34.140625" style="113" bestFit="1" customWidth="1"/>
    <col min="8194" max="8194" width="48.85546875" style="113" bestFit="1" customWidth="1"/>
    <col min="8195" max="8195" width="47.28515625" style="113" bestFit="1" customWidth="1"/>
    <col min="8196" max="8196" width="6" style="113" customWidth="1"/>
    <col min="8197" max="8197" width="30.7109375" style="113" bestFit="1" customWidth="1"/>
    <col min="8198" max="8198" width="26.140625" style="113" bestFit="1" customWidth="1"/>
    <col min="8199" max="8199" width="22.7109375" style="113" bestFit="1" customWidth="1"/>
    <col min="8200" max="8200" width="9" style="113" bestFit="1" customWidth="1"/>
    <col min="8201" max="8201" width="16.5703125" style="113" bestFit="1" customWidth="1"/>
    <col min="8202" max="8202" width="14.28515625" style="113" bestFit="1" customWidth="1"/>
    <col min="8203" max="8203" width="12.140625" style="113" bestFit="1" customWidth="1"/>
    <col min="8204" max="8204" width="8.28515625" style="113" bestFit="1" customWidth="1"/>
    <col min="8205" max="8205" width="7.140625" style="113" bestFit="1" customWidth="1"/>
    <col min="8206" max="8206" width="43.7109375" style="113" bestFit="1" customWidth="1"/>
    <col min="8207" max="8448" width="8.85546875" style="113"/>
    <col min="8449" max="8449" width="34.140625" style="113" bestFit="1" customWidth="1"/>
    <col min="8450" max="8450" width="48.85546875" style="113" bestFit="1" customWidth="1"/>
    <col min="8451" max="8451" width="47.28515625" style="113" bestFit="1" customWidth="1"/>
    <col min="8452" max="8452" width="6" style="113" customWidth="1"/>
    <col min="8453" max="8453" width="30.7109375" style="113" bestFit="1" customWidth="1"/>
    <col min="8454" max="8454" width="26.140625" style="113" bestFit="1" customWidth="1"/>
    <col min="8455" max="8455" width="22.7109375" style="113" bestFit="1" customWidth="1"/>
    <col min="8456" max="8456" width="9" style="113" bestFit="1" customWidth="1"/>
    <col min="8457" max="8457" width="16.5703125" style="113" bestFit="1" customWidth="1"/>
    <col min="8458" max="8458" width="14.28515625" style="113" bestFit="1" customWidth="1"/>
    <col min="8459" max="8459" width="12.140625" style="113" bestFit="1" customWidth="1"/>
    <col min="8460" max="8460" width="8.28515625" style="113" bestFit="1" customWidth="1"/>
    <col min="8461" max="8461" width="7.140625" style="113" bestFit="1" customWidth="1"/>
    <col min="8462" max="8462" width="43.7109375" style="113" bestFit="1" customWidth="1"/>
    <col min="8463" max="8704" width="8.85546875" style="113"/>
    <col min="8705" max="8705" width="34.140625" style="113" bestFit="1" customWidth="1"/>
    <col min="8706" max="8706" width="48.85546875" style="113" bestFit="1" customWidth="1"/>
    <col min="8707" max="8707" width="47.28515625" style="113" bestFit="1" customWidth="1"/>
    <col min="8708" max="8708" width="6" style="113" customWidth="1"/>
    <col min="8709" max="8709" width="30.7109375" style="113" bestFit="1" customWidth="1"/>
    <col min="8710" max="8710" width="26.140625" style="113" bestFit="1" customWidth="1"/>
    <col min="8711" max="8711" width="22.7109375" style="113" bestFit="1" customWidth="1"/>
    <col min="8712" max="8712" width="9" style="113" bestFit="1" customWidth="1"/>
    <col min="8713" max="8713" width="16.5703125" style="113" bestFit="1" customWidth="1"/>
    <col min="8714" max="8714" width="14.28515625" style="113" bestFit="1" customWidth="1"/>
    <col min="8715" max="8715" width="12.140625" style="113" bestFit="1" customWidth="1"/>
    <col min="8716" max="8716" width="8.28515625" style="113" bestFit="1" customWidth="1"/>
    <col min="8717" max="8717" width="7.140625" style="113" bestFit="1" customWidth="1"/>
    <col min="8718" max="8718" width="43.7109375" style="113" bestFit="1" customWidth="1"/>
    <col min="8719" max="8960" width="8.85546875" style="113"/>
    <col min="8961" max="8961" width="34.140625" style="113" bestFit="1" customWidth="1"/>
    <col min="8962" max="8962" width="48.85546875" style="113" bestFit="1" customWidth="1"/>
    <col min="8963" max="8963" width="47.28515625" style="113" bestFit="1" customWidth="1"/>
    <col min="8964" max="8964" width="6" style="113" customWidth="1"/>
    <col min="8965" max="8965" width="30.7109375" style="113" bestFit="1" customWidth="1"/>
    <col min="8966" max="8966" width="26.140625" style="113" bestFit="1" customWidth="1"/>
    <col min="8967" max="8967" width="22.7109375" style="113" bestFit="1" customWidth="1"/>
    <col min="8968" max="8968" width="9" style="113" bestFit="1" customWidth="1"/>
    <col min="8969" max="8969" width="16.5703125" style="113" bestFit="1" customWidth="1"/>
    <col min="8970" max="8970" width="14.28515625" style="113" bestFit="1" customWidth="1"/>
    <col min="8971" max="8971" width="12.140625" style="113" bestFit="1" customWidth="1"/>
    <col min="8972" max="8972" width="8.28515625" style="113" bestFit="1" customWidth="1"/>
    <col min="8973" max="8973" width="7.140625" style="113" bestFit="1" customWidth="1"/>
    <col min="8974" max="8974" width="43.7109375" style="113" bestFit="1" customWidth="1"/>
    <col min="8975" max="9216" width="8.85546875" style="113"/>
    <col min="9217" max="9217" width="34.140625" style="113" bestFit="1" customWidth="1"/>
    <col min="9218" max="9218" width="48.85546875" style="113" bestFit="1" customWidth="1"/>
    <col min="9219" max="9219" width="47.28515625" style="113" bestFit="1" customWidth="1"/>
    <col min="9220" max="9220" width="6" style="113" customWidth="1"/>
    <col min="9221" max="9221" width="30.7109375" style="113" bestFit="1" customWidth="1"/>
    <col min="9222" max="9222" width="26.140625" style="113" bestFit="1" customWidth="1"/>
    <col min="9223" max="9223" width="22.7109375" style="113" bestFit="1" customWidth="1"/>
    <col min="9224" max="9224" width="9" style="113" bestFit="1" customWidth="1"/>
    <col min="9225" max="9225" width="16.5703125" style="113" bestFit="1" customWidth="1"/>
    <col min="9226" max="9226" width="14.28515625" style="113" bestFit="1" customWidth="1"/>
    <col min="9227" max="9227" width="12.140625" style="113" bestFit="1" customWidth="1"/>
    <col min="9228" max="9228" width="8.28515625" style="113" bestFit="1" customWidth="1"/>
    <col min="9229" max="9229" width="7.140625" style="113" bestFit="1" customWidth="1"/>
    <col min="9230" max="9230" width="43.7109375" style="113" bestFit="1" customWidth="1"/>
    <col min="9231" max="9472" width="8.85546875" style="113"/>
    <col min="9473" max="9473" width="34.140625" style="113" bestFit="1" customWidth="1"/>
    <col min="9474" max="9474" width="48.85546875" style="113" bestFit="1" customWidth="1"/>
    <col min="9475" max="9475" width="47.28515625" style="113" bestFit="1" customWidth="1"/>
    <col min="9476" max="9476" width="6" style="113" customWidth="1"/>
    <col min="9477" max="9477" width="30.7109375" style="113" bestFit="1" customWidth="1"/>
    <col min="9478" max="9478" width="26.140625" style="113" bestFit="1" customWidth="1"/>
    <col min="9479" max="9479" width="22.7109375" style="113" bestFit="1" customWidth="1"/>
    <col min="9480" max="9480" width="9" style="113" bestFit="1" customWidth="1"/>
    <col min="9481" max="9481" width="16.5703125" style="113" bestFit="1" customWidth="1"/>
    <col min="9482" max="9482" width="14.28515625" style="113" bestFit="1" customWidth="1"/>
    <col min="9483" max="9483" width="12.140625" style="113" bestFit="1" customWidth="1"/>
    <col min="9484" max="9484" width="8.28515625" style="113" bestFit="1" customWidth="1"/>
    <col min="9485" max="9485" width="7.140625" style="113" bestFit="1" customWidth="1"/>
    <col min="9486" max="9486" width="43.7109375" style="113" bestFit="1" customWidth="1"/>
    <col min="9487" max="9728" width="8.85546875" style="113"/>
    <col min="9729" max="9729" width="34.140625" style="113" bestFit="1" customWidth="1"/>
    <col min="9730" max="9730" width="48.85546875" style="113" bestFit="1" customWidth="1"/>
    <col min="9731" max="9731" width="47.28515625" style="113" bestFit="1" customWidth="1"/>
    <col min="9732" max="9732" width="6" style="113" customWidth="1"/>
    <col min="9733" max="9733" width="30.7109375" style="113" bestFit="1" customWidth="1"/>
    <col min="9734" max="9734" width="26.140625" style="113" bestFit="1" customWidth="1"/>
    <col min="9735" max="9735" width="22.7109375" style="113" bestFit="1" customWidth="1"/>
    <col min="9736" max="9736" width="9" style="113" bestFit="1" customWidth="1"/>
    <col min="9737" max="9737" width="16.5703125" style="113" bestFit="1" customWidth="1"/>
    <col min="9738" max="9738" width="14.28515625" style="113" bestFit="1" customWidth="1"/>
    <col min="9739" max="9739" width="12.140625" style="113" bestFit="1" customWidth="1"/>
    <col min="9740" max="9740" width="8.28515625" style="113" bestFit="1" customWidth="1"/>
    <col min="9741" max="9741" width="7.140625" style="113" bestFit="1" customWidth="1"/>
    <col min="9742" max="9742" width="43.7109375" style="113" bestFit="1" customWidth="1"/>
    <col min="9743" max="9984" width="8.85546875" style="113"/>
    <col min="9985" max="9985" width="34.140625" style="113" bestFit="1" customWidth="1"/>
    <col min="9986" max="9986" width="48.85546875" style="113" bestFit="1" customWidth="1"/>
    <col min="9987" max="9987" width="47.28515625" style="113" bestFit="1" customWidth="1"/>
    <col min="9988" max="9988" width="6" style="113" customWidth="1"/>
    <col min="9989" max="9989" width="30.7109375" style="113" bestFit="1" customWidth="1"/>
    <col min="9990" max="9990" width="26.140625" style="113" bestFit="1" customWidth="1"/>
    <col min="9991" max="9991" width="22.7109375" style="113" bestFit="1" customWidth="1"/>
    <col min="9992" max="9992" width="9" style="113" bestFit="1" customWidth="1"/>
    <col min="9993" max="9993" width="16.5703125" style="113" bestFit="1" customWidth="1"/>
    <col min="9994" max="9994" width="14.28515625" style="113" bestFit="1" customWidth="1"/>
    <col min="9995" max="9995" width="12.140625" style="113" bestFit="1" customWidth="1"/>
    <col min="9996" max="9996" width="8.28515625" style="113" bestFit="1" customWidth="1"/>
    <col min="9997" max="9997" width="7.140625" style="113" bestFit="1" customWidth="1"/>
    <col min="9998" max="9998" width="43.7109375" style="113" bestFit="1" customWidth="1"/>
    <col min="9999" max="10240" width="8.85546875" style="113"/>
    <col min="10241" max="10241" width="34.140625" style="113" bestFit="1" customWidth="1"/>
    <col min="10242" max="10242" width="48.85546875" style="113" bestFit="1" customWidth="1"/>
    <col min="10243" max="10243" width="47.28515625" style="113" bestFit="1" customWidth="1"/>
    <col min="10244" max="10244" width="6" style="113" customWidth="1"/>
    <col min="10245" max="10245" width="30.7109375" style="113" bestFit="1" customWidth="1"/>
    <col min="10246" max="10246" width="26.140625" style="113" bestFit="1" customWidth="1"/>
    <col min="10247" max="10247" width="22.7109375" style="113" bestFit="1" customWidth="1"/>
    <col min="10248" max="10248" width="9" style="113" bestFit="1" customWidth="1"/>
    <col min="10249" max="10249" width="16.5703125" style="113" bestFit="1" customWidth="1"/>
    <col min="10250" max="10250" width="14.28515625" style="113" bestFit="1" customWidth="1"/>
    <col min="10251" max="10251" width="12.140625" style="113" bestFit="1" customWidth="1"/>
    <col min="10252" max="10252" width="8.28515625" style="113" bestFit="1" customWidth="1"/>
    <col min="10253" max="10253" width="7.140625" style="113" bestFit="1" customWidth="1"/>
    <col min="10254" max="10254" width="43.7109375" style="113" bestFit="1" customWidth="1"/>
    <col min="10255" max="10496" width="8.85546875" style="113"/>
    <col min="10497" max="10497" width="34.140625" style="113" bestFit="1" customWidth="1"/>
    <col min="10498" max="10498" width="48.85546875" style="113" bestFit="1" customWidth="1"/>
    <col min="10499" max="10499" width="47.28515625" style="113" bestFit="1" customWidth="1"/>
    <col min="10500" max="10500" width="6" style="113" customWidth="1"/>
    <col min="10501" max="10501" width="30.7109375" style="113" bestFit="1" customWidth="1"/>
    <col min="10502" max="10502" width="26.140625" style="113" bestFit="1" customWidth="1"/>
    <col min="10503" max="10503" width="22.7109375" style="113" bestFit="1" customWidth="1"/>
    <col min="10504" max="10504" width="9" style="113" bestFit="1" customWidth="1"/>
    <col min="10505" max="10505" width="16.5703125" style="113" bestFit="1" customWidth="1"/>
    <col min="10506" max="10506" width="14.28515625" style="113" bestFit="1" customWidth="1"/>
    <col min="10507" max="10507" width="12.140625" style="113" bestFit="1" customWidth="1"/>
    <col min="10508" max="10508" width="8.28515625" style="113" bestFit="1" customWidth="1"/>
    <col min="10509" max="10509" width="7.140625" style="113" bestFit="1" customWidth="1"/>
    <col min="10510" max="10510" width="43.7109375" style="113" bestFit="1" customWidth="1"/>
    <col min="10511" max="10752" width="8.85546875" style="113"/>
    <col min="10753" max="10753" width="34.140625" style="113" bestFit="1" customWidth="1"/>
    <col min="10754" max="10754" width="48.85546875" style="113" bestFit="1" customWidth="1"/>
    <col min="10755" max="10755" width="47.28515625" style="113" bestFit="1" customWidth="1"/>
    <col min="10756" max="10756" width="6" style="113" customWidth="1"/>
    <col min="10757" max="10757" width="30.7109375" style="113" bestFit="1" customWidth="1"/>
    <col min="10758" max="10758" width="26.140625" style="113" bestFit="1" customWidth="1"/>
    <col min="10759" max="10759" width="22.7109375" style="113" bestFit="1" customWidth="1"/>
    <col min="10760" max="10760" width="9" style="113" bestFit="1" customWidth="1"/>
    <col min="10761" max="10761" width="16.5703125" style="113" bestFit="1" customWidth="1"/>
    <col min="10762" max="10762" width="14.28515625" style="113" bestFit="1" customWidth="1"/>
    <col min="10763" max="10763" width="12.140625" style="113" bestFit="1" customWidth="1"/>
    <col min="10764" max="10764" width="8.28515625" style="113" bestFit="1" customWidth="1"/>
    <col min="10765" max="10765" width="7.140625" style="113" bestFit="1" customWidth="1"/>
    <col min="10766" max="10766" width="43.7109375" style="113" bestFit="1" customWidth="1"/>
    <col min="10767" max="11008" width="8.85546875" style="113"/>
    <col min="11009" max="11009" width="34.140625" style="113" bestFit="1" customWidth="1"/>
    <col min="11010" max="11010" width="48.85546875" style="113" bestFit="1" customWidth="1"/>
    <col min="11011" max="11011" width="47.28515625" style="113" bestFit="1" customWidth="1"/>
    <col min="11012" max="11012" width="6" style="113" customWidth="1"/>
    <col min="11013" max="11013" width="30.7109375" style="113" bestFit="1" customWidth="1"/>
    <col min="11014" max="11014" width="26.140625" style="113" bestFit="1" customWidth="1"/>
    <col min="11015" max="11015" width="22.7109375" style="113" bestFit="1" customWidth="1"/>
    <col min="11016" max="11016" width="9" style="113" bestFit="1" customWidth="1"/>
    <col min="11017" max="11017" width="16.5703125" style="113" bestFit="1" customWidth="1"/>
    <col min="11018" max="11018" width="14.28515625" style="113" bestFit="1" customWidth="1"/>
    <col min="11019" max="11019" width="12.140625" style="113" bestFit="1" customWidth="1"/>
    <col min="11020" max="11020" width="8.28515625" style="113" bestFit="1" customWidth="1"/>
    <col min="11021" max="11021" width="7.140625" style="113" bestFit="1" customWidth="1"/>
    <col min="11022" max="11022" width="43.7109375" style="113" bestFit="1" customWidth="1"/>
    <col min="11023" max="11264" width="8.85546875" style="113"/>
    <col min="11265" max="11265" width="34.140625" style="113" bestFit="1" customWidth="1"/>
    <col min="11266" max="11266" width="48.85546875" style="113" bestFit="1" customWidth="1"/>
    <col min="11267" max="11267" width="47.28515625" style="113" bestFit="1" customWidth="1"/>
    <col min="11268" max="11268" width="6" style="113" customWidth="1"/>
    <col min="11269" max="11269" width="30.7109375" style="113" bestFit="1" customWidth="1"/>
    <col min="11270" max="11270" width="26.140625" style="113" bestFit="1" customWidth="1"/>
    <col min="11271" max="11271" width="22.7109375" style="113" bestFit="1" customWidth="1"/>
    <col min="11272" max="11272" width="9" style="113" bestFit="1" customWidth="1"/>
    <col min="11273" max="11273" width="16.5703125" style="113" bestFit="1" customWidth="1"/>
    <col min="11274" max="11274" width="14.28515625" style="113" bestFit="1" customWidth="1"/>
    <col min="11275" max="11275" width="12.140625" style="113" bestFit="1" customWidth="1"/>
    <col min="11276" max="11276" width="8.28515625" style="113" bestFit="1" customWidth="1"/>
    <col min="11277" max="11277" width="7.140625" style="113" bestFit="1" customWidth="1"/>
    <col min="11278" max="11278" width="43.7109375" style="113" bestFit="1" customWidth="1"/>
    <col min="11279" max="11520" width="8.85546875" style="113"/>
    <col min="11521" max="11521" width="34.140625" style="113" bestFit="1" customWidth="1"/>
    <col min="11522" max="11522" width="48.85546875" style="113" bestFit="1" customWidth="1"/>
    <col min="11523" max="11523" width="47.28515625" style="113" bestFit="1" customWidth="1"/>
    <col min="11524" max="11524" width="6" style="113" customWidth="1"/>
    <col min="11525" max="11525" width="30.7109375" style="113" bestFit="1" customWidth="1"/>
    <col min="11526" max="11526" width="26.140625" style="113" bestFit="1" customWidth="1"/>
    <col min="11527" max="11527" width="22.7109375" style="113" bestFit="1" customWidth="1"/>
    <col min="11528" max="11528" width="9" style="113" bestFit="1" customWidth="1"/>
    <col min="11529" max="11529" width="16.5703125" style="113" bestFit="1" customWidth="1"/>
    <col min="11530" max="11530" width="14.28515625" style="113" bestFit="1" customWidth="1"/>
    <col min="11531" max="11531" width="12.140625" style="113" bestFit="1" customWidth="1"/>
    <col min="11532" max="11532" width="8.28515625" style="113" bestFit="1" customWidth="1"/>
    <col min="11533" max="11533" width="7.140625" style="113" bestFit="1" customWidth="1"/>
    <col min="11534" max="11534" width="43.7109375" style="113" bestFit="1" customWidth="1"/>
    <col min="11535" max="11776" width="8.85546875" style="113"/>
    <col min="11777" max="11777" width="34.140625" style="113" bestFit="1" customWidth="1"/>
    <col min="11778" max="11778" width="48.85546875" style="113" bestFit="1" customWidth="1"/>
    <col min="11779" max="11779" width="47.28515625" style="113" bestFit="1" customWidth="1"/>
    <col min="11780" max="11780" width="6" style="113" customWidth="1"/>
    <col min="11781" max="11781" width="30.7109375" style="113" bestFit="1" customWidth="1"/>
    <col min="11782" max="11782" width="26.140625" style="113" bestFit="1" customWidth="1"/>
    <col min="11783" max="11783" width="22.7109375" style="113" bestFit="1" customWidth="1"/>
    <col min="11784" max="11784" width="9" style="113" bestFit="1" customWidth="1"/>
    <col min="11785" max="11785" width="16.5703125" style="113" bestFit="1" customWidth="1"/>
    <col min="11786" max="11786" width="14.28515625" style="113" bestFit="1" customWidth="1"/>
    <col min="11787" max="11787" width="12.140625" style="113" bestFit="1" customWidth="1"/>
    <col min="11788" max="11788" width="8.28515625" style="113" bestFit="1" customWidth="1"/>
    <col min="11789" max="11789" width="7.140625" style="113" bestFit="1" customWidth="1"/>
    <col min="11790" max="11790" width="43.7109375" style="113" bestFit="1" customWidth="1"/>
    <col min="11791" max="12032" width="8.85546875" style="113"/>
    <col min="12033" max="12033" width="34.140625" style="113" bestFit="1" customWidth="1"/>
    <col min="12034" max="12034" width="48.85546875" style="113" bestFit="1" customWidth="1"/>
    <col min="12035" max="12035" width="47.28515625" style="113" bestFit="1" customWidth="1"/>
    <col min="12036" max="12036" width="6" style="113" customWidth="1"/>
    <col min="12037" max="12037" width="30.7109375" style="113" bestFit="1" customWidth="1"/>
    <col min="12038" max="12038" width="26.140625" style="113" bestFit="1" customWidth="1"/>
    <col min="12039" max="12039" width="22.7109375" style="113" bestFit="1" customWidth="1"/>
    <col min="12040" max="12040" width="9" style="113" bestFit="1" customWidth="1"/>
    <col min="12041" max="12041" width="16.5703125" style="113" bestFit="1" customWidth="1"/>
    <col min="12042" max="12042" width="14.28515625" style="113" bestFit="1" customWidth="1"/>
    <col min="12043" max="12043" width="12.140625" style="113" bestFit="1" customWidth="1"/>
    <col min="12044" max="12044" width="8.28515625" style="113" bestFit="1" customWidth="1"/>
    <col min="12045" max="12045" width="7.140625" style="113" bestFit="1" customWidth="1"/>
    <col min="12046" max="12046" width="43.7109375" style="113" bestFit="1" customWidth="1"/>
    <col min="12047" max="12288" width="8.85546875" style="113"/>
    <col min="12289" max="12289" width="34.140625" style="113" bestFit="1" customWidth="1"/>
    <col min="12290" max="12290" width="48.85546875" style="113" bestFit="1" customWidth="1"/>
    <col min="12291" max="12291" width="47.28515625" style="113" bestFit="1" customWidth="1"/>
    <col min="12292" max="12292" width="6" style="113" customWidth="1"/>
    <col min="12293" max="12293" width="30.7109375" style="113" bestFit="1" customWidth="1"/>
    <col min="12294" max="12294" width="26.140625" style="113" bestFit="1" customWidth="1"/>
    <col min="12295" max="12295" width="22.7109375" style="113" bestFit="1" customWidth="1"/>
    <col min="12296" max="12296" width="9" style="113" bestFit="1" customWidth="1"/>
    <col min="12297" max="12297" width="16.5703125" style="113" bestFit="1" customWidth="1"/>
    <col min="12298" max="12298" width="14.28515625" style="113" bestFit="1" customWidth="1"/>
    <col min="12299" max="12299" width="12.140625" style="113" bestFit="1" customWidth="1"/>
    <col min="12300" max="12300" width="8.28515625" style="113" bestFit="1" customWidth="1"/>
    <col min="12301" max="12301" width="7.140625" style="113" bestFit="1" customWidth="1"/>
    <col min="12302" max="12302" width="43.7109375" style="113" bestFit="1" customWidth="1"/>
    <col min="12303" max="12544" width="8.85546875" style="113"/>
    <col min="12545" max="12545" width="34.140625" style="113" bestFit="1" customWidth="1"/>
    <col min="12546" max="12546" width="48.85546875" style="113" bestFit="1" customWidth="1"/>
    <col min="12547" max="12547" width="47.28515625" style="113" bestFit="1" customWidth="1"/>
    <col min="12548" max="12548" width="6" style="113" customWidth="1"/>
    <col min="12549" max="12549" width="30.7109375" style="113" bestFit="1" customWidth="1"/>
    <col min="12550" max="12550" width="26.140625" style="113" bestFit="1" customWidth="1"/>
    <col min="12551" max="12551" width="22.7109375" style="113" bestFit="1" customWidth="1"/>
    <col min="12552" max="12552" width="9" style="113" bestFit="1" customWidth="1"/>
    <col min="12553" max="12553" width="16.5703125" style="113" bestFit="1" customWidth="1"/>
    <col min="12554" max="12554" width="14.28515625" style="113" bestFit="1" customWidth="1"/>
    <col min="12555" max="12555" width="12.140625" style="113" bestFit="1" customWidth="1"/>
    <col min="12556" max="12556" width="8.28515625" style="113" bestFit="1" customWidth="1"/>
    <col min="12557" max="12557" width="7.140625" style="113" bestFit="1" customWidth="1"/>
    <col min="12558" max="12558" width="43.7109375" style="113" bestFit="1" customWidth="1"/>
    <col min="12559" max="12800" width="8.85546875" style="113"/>
    <col min="12801" max="12801" width="34.140625" style="113" bestFit="1" customWidth="1"/>
    <col min="12802" max="12802" width="48.85546875" style="113" bestFit="1" customWidth="1"/>
    <col min="12803" max="12803" width="47.28515625" style="113" bestFit="1" customWidth="1"/>
    <col min="12804" max="12804" width="6" style="113" customWidth="1"/>
    <col min="12805" max="12805" width="30.7109375" style="113" bestFit="1" customWidth="1"/>
    <col min="12806" max="12806" width="26.140625" style="113" bestFit="1" customWidth="1"/>
    <col min="12807" max="12807" width="22.7109375" style="113" bestFit="1" customWidth="1"/>
    <col min="12808" max="12808" width="9" style="113" bestFit="1" customWidth="1"/>
    <col min="12809" max="12809" width="16.5703125" style="113" bestFit="1" customWidth="1"/>
    <col min="12810" max="12810" width="14.28515625" style="113" bestFit="1" customWidth="1"/>
    <col min="12811" max="12811" width="12.140625" style="113" bestFit="1" customWidth="1"/>
    <col min="12812" max="12812" width="8.28515625" style="113" bestFit="1" customWidth="1"/>
    <col min="12813" max="12813" width="7.140625" style="113" bestFit="1" customWidth="1"/>
    <col min="12814" max="12814" width="43.7109375" style="113" bestFit="1" customWidth="1"/>
    <col min="12815" max="13056" width="8.85546875" style="113"/>
    <col min="13057" max="13057" width="34.140625" style="113" bestFit="1" customWidth="1"/>
    <col min="13058" max="13058" width="48.85546875" style="113" bestFit="1" customWidth="1"/>
    <col min="13059" max="13059" width="47.28515625" style="113" bestFit="1" customWidth="1"/>
    <col min="13060" max="13060" width="6" style="113" customWidth="1"/>
    <col min="13061" max="13061" width="30.7109375" style="113" bestFit="1" customWidth="1"/>
    <col min="13062" max="13062" width="26.140625" style="113" bestFit="1" customWidth="1"/>
    <col min="13063" max="13063" width="22.7109375" style="113" bestFit="1" customWidth="1"/>
    <col min="13064" max="13064" width="9" style="113" bestFit="1" customWidth="1"/>
    <col min="13065" max="13065" width="16.5703125" style="113" bestFit="1" customWidth="1"/>
    <col min="13066" max="13066" width="14.28515625" style="113" bestFit="1" customWidth="1"/>
    <col min="13067" max="13067" width="12.140625" style="113" bestFit="1" customWidth="1"/>
    <col min="13068" max="13068" width="8.28515625" style="113" bestFit="1" customWidth="1"/>
    <col min="13069" max="13069" width="7.140625" style="113" bestFit="1" customWidth="1"/>
    <col min="13070" max="13070" width="43.7109375" style="113" bestFit="1" customWidth="1"/>
    <col min="13071" max="13312" width="8.85546875" style="113"/>
    <col min="13313" max="13313" width="34.140625" style="113" bestFit="1" customWidth="1"/>
    <col min="13314" max="13314" width="48.85546875" style="113" bestFit="1" customWidth="1"/>
    <col min="13315" max="13315" width="47.28515625" style="113" bestFit="1" customWidth="1"/>
    <col min="13316" max="13316" width="6" style="113" customWidth="1"/>
    <col min="13317" max="13317" width="30.7109375" style="113" bestFit="1" customWidth="1"/>
    <col min="13318" max="13318" width="26.140625" style="113" bestFit="1" customWidth="1"/>
    <col min="13319" max="13319" width="22.7109375" style="113" bestFit="1" customWidth="1"/>
    <col min="13320" max="13320" width="9" style="113" bestFit="1" customWidth="1"/>
    <col min="13321" max="13321" width="16.5703125" style="113" bestFit="1" customWidth="1"/>
    <col min="13322" max="13322" width="14.28515625" style="113" bestFit="1" customWidth="1"/>
    <col min="13323" max="13323" width="12.140625" style="113" bestFit="1" customWidth="1"/>
    <col min="13324" max="13324" width="8.28515625" style="113" bestFit="1" customWidth="1"/>
    <col min="13325" max="13325" width="7.140625" style="113" bestFit="1" customWidth="1"/>
    <col min="13326" max="13326" width="43.7109375" style="113" bestFit="1" customWidth="1"/>
    <col min="13327" max="13568" width="8.85546875" style="113"/>
    <col min="13569" max="13569" width="34.140625" style="113" bestFit="1" customWidth="1"/>
    <col min="13570" max="13570" width="48.85546875" style="113" bestFit="1" customWidth="1"/>
    <col min="13571" max="13571" width="47.28515625" style="113" bestFit="1" customWidth="1"/>
    <col min="13572" max="13572" width="6" style="113" customWidth="1"/>
    <col min="13573" max="13573" width="30.7109375" style="113" bestFit="1" customWidth="1"/>
    <col min="13574" max="13574" width="26.140625" style="113" bestFit="1" customWidth="1"/>
    <col min="13575" max="13575" width="22.7109375" style="113" bestFit="1" customWidth="1"/>
    <col min="13576" max="13576" width="9" style="113" bestFit="1" customWidth="1"/>
    <col min="13577" max="13577" width="16.5703125" style="113" bestFit="1" customWidth="1"/>
    <col min="13578" max="13578" width="14.28515625" style="113" bestFit="1" customWidth="1"/>
    <col min="13579" max="13579" width="12.140625" style="113" bestFit="1" customWidth="1"/>
    <col min="13580" max="13580" width="8.28515625" style="113" bestFit="1" customWidth="1"/>
    <col min="13581" max="13581" width="7.140625" style="113" bestFit="1" customWidth="1"/>
    <col min="13582" max="13582" width="43.7109375" style="113" bestFit="1" customWidth="1"/>
    <col min="13583" max="13824" width="8.85546875" style="113"/>
    <col min="13825" max="13825" width="34.140625" style="113" bestFit="1" customWidth="1"/>
    <col min="13826" max="13826" width="48.85546875" style="113" bestFit="1" customWidth="1"/>
    <col min="13827" max="13827" width="47.28515625" style="113" bestFit="1" customWidth="1"/>
    <col min="13828" max="13828" width="6" style="113" customWidth="1"/>
    <col min="13829" max="13829" width="30.7109375" style="113" bestFit="1" customWidth="1"/>
    <col min="13830" max="13830" width="26.140625" style="113" bestFit="1" customWidth="1"/>
    <col min="13831" max="13831" width="22.7109375" style="113" bestFit="1" customWidth="1"/>
    <col min="13832" max="13832" width="9" style="113" bestFit="1" customWidth="1"/>
    <col min="13833" max="13833" width="16.5703125" style="113" bestFit="1" customWidth="1"/>
    <col min="13834" max="13834" width="14.28515625" style="113" bestFit="1" customWidth="1"/>
    <col min="13835" max="13835" width="12.140625" style="113" bestFit="1" customWidth="1"/>
    <col min="13836" max="13836" width="8.28515625" style="113" bestFit="1" customWidth="1"/>
    <col min="13837" max="13837" width="7.140625" style="113" bestFit="1" customWidth="1"/>
    <col min="13838" max="13838" width="43.7109375" style="113" bestFit="1" customWidth="1"/>
    <col min="13839" max="14080" width="8.85546875" style="113"/>
    <col min="14081" max="14081" width="34.140625" style="113" bestFit="1" customWidth="1"/>
    <col min="14082" max="14082" width="48.85546875" style="113" bestFit="1" customWidth="1"/>
    <col min="14083" max="14083" width="47.28515625" style="113" bestFit="1" customWidth="1"/>
    <col min="14084" max="14084" width="6" style="113" customWidth="1"/>
    <col min="14085" max="14085" width="30.7109375" style="113" bestFit="1" customWidth="1"/>
    <col min="14086" max="14086" width="26.140625" style="113" bestFit="1" customWidth="1"/>
    <col min="14087" max="14087" width="22.7109375" style="113" bestFit="1" customWidth="1"/>
    <col min="14088" max="14088" width="9" style="113" bestFit="1" customWidth="1"/>
    <col min="14089" max="14089" width="16.5703125" style="113" bestFit="1" customWidth="1"/>
    <col min="14090" max="14090" width="14.28515625" style="113" bestFit="1" customWidth="1"/>
    <col min="14091" max="14091" width="12.140625" style="113" bestFit="1" customWidth="1"/>
    <col min="14092" max="14092" width="8.28515625" style="113" bestFit="1" customWidth="1"/>
    <col min="14093" max="14093" width="7.140625" style="113" bestFit="1" customWidth="1"/>
    <col min="14094" max="14094" width="43.7109375" style="113" bestFit="1" customWidth="1"/>
    <col min="14095" max="14336" width="8.85546875" style="113"/>
    <col min="14337" max="14337" width="34.140625" style="113" bestFit="1" customWidth="1"/>
    <col min="14338" max="14338" width="48.85546875" style="113" bestFit="1" customWidth="1"/>
    <col min="14339" max="14339" width="47.28515625" style="113" bestFit="1" customWidth="1"/>
    <col min="14340" max="14340" width="6" style="113" customWidth="1"/>
    <col min="14341" max="14341" width="30.7109375" style="113" bestFit="1" customWidth="1"/>
    <col min="14342" max="14342" width="26.140625" style="113" bestFit="1" customWidth="1"/>
    <col min="14343" max="14343" width="22.7109375" style="113" bestFit="1" customWidth="1"/>
    <col min="14344" max="14344" width="9" style="113" bestFit="1" customWidth="1"/>
    <col min="14345" max="14345" width="16.5703125" style="113" bestFit="1" customWidth="1"/>
    <col min="14346" max="14346" width="14.28515625" style="113" bestFit="1" customWidth="1"/>
    <col min="14347" max="14347" width="12.140625" style="113" bestFit="1" customWidth="1"/>
    <col min="14348" max="14348" width="8.28515625" style="113" bestFit="1" customWidth="1"/>
    <col min="14349" max="14349" width="7.140625" style="113" bestFit="1" customWidth="1"/>
    <col min="14350" max="14350" width="43.7109375" style="113" bestFit="1" customWidth="1"/>
    <col min="14351" max="14592" width="8.85546875" style="113"/>
    <col min="14593" max="14593" width="34.140625" style="113" bestFit="1" customWidth="1"/>
    <col min="14594" max="14594" width="48.85546875" style="113" bestFit="1" customWidth="1"/>
    <col min="14595" max="14595" width="47.28515625" style="113" bestFit="1" customWidth="1"/>
    <col min="14596" max="14596" width="6" style="113" customWidth="1"/>
    <col min="14597" max="14597" width="30.7109375" style="113" bestFit="1" customWidth="1"/>
    <col min="14598" max="14598" width="26.140625" style="113" bestFit="1" customWidth="1"/>
    <col min="14599" max="14599" width="22.7109375" style="113" bestFit="1" customWidth="1"/>
    <col min="14600" max="14600" width="9" style="113" bestFit="1" customWidth="1"/>
    <col min="14601" max="14601" width="16.5703125" style="113" bestFit="1" customWidth="1"/>
    <col min="14602" max="14602" width="14.28515625" style="113" bestFit="1" customWidth="1"/>
    <col min="14603" max="14603" width="12.140625" style="113" bestFit="1" customWidth="1"/>
    <col min="14604" max="14604" width="8.28515625" style="113" bestFit="1" customWidth="1"/>
    <col min="14605" max="14605" width="7.140625" style="113" bestFit="1" customWidth="1"/>
    <col min="14606" max="14606" width="43.7109375" style="113" bestFit="1" customWidth="1"/>
    <col min="14607" max="14848" width="8.85546875" style="113"/>
    <col min="14849" max="14849" width="34.140625" style="113" bestFit="1" customWidth="1"/>
    <col min="14850" max="14850" width="48.85546875" style="113" bestFit="1" customWidth="1"/>
    <col min="14851" max="14851" width="47.28515625" style="113" bestFit="1" customWidth="1"/>
    <col min="14852" max="14852" width="6" style="113" customWidth="1"/>
    <col min="14853" max="14853" width="30.7109375" style="113" bestFit="1" customWidth="1"/>
    <col min="14854" max="14854" width="26.140625" style="113" bestFit="1" customWidth="1"/>
    <col min="14855" max="14855" width="22.7109375" style="113" bestFit="1" customWidth="1"/>
    <col min="14856" max="14856" width="9" style="113" bestFit="1" customWidth="1"/>
    <col min="14857" max="14857" width="16.5703125" style="113" bestFit="1" customWidth="1"/>
    <col min="14858" max="14858" width="14.28515625" style="113" bestFit="1" customWidth="1"/>
    <col min="14859" max="14859" width="12.140625" style="113" bestFit="1" customWidth="1"/>
    <col min="14860" max="14860" width="8.28515625" style="113" bestFit="1" customWidth="1"/>
    <col min="14861" max="14861" width="7.140625" style="113" bestFit="1" customWidth="1"/>
    <col min="14862" max="14862" width="43.7109375" style="113" bestFit="1" customWidth="1"/>
    <col min="14863" max="15104" width="8.85546875" style="113"/>
    <col min="15105" max="15105" width="34.140625" style="113" bestFit="1" customWidth="1"/>
    <col min="15106" max="15106" width="48.85546875" style="113" bestFit="1" customWidth="1"/>
    <col min="15107" max="15107" width="47.28515625" style="113" bestFit="1" customWidth="1"/>
    <col min="15108" max="15108" width="6" style="113" customWidth="1"/>
    <col min="15109" max="15109" width="30.7109375" style="113" bestFit="1" customWidth="1"/>
    <col min="15110" max="15110" width="26.140625" style="113" bestFit="1" customWidth="1"/>
    <col min="15111" max="15111" width="22.7109375" style="113" bestFit="1" customWidth="1"/>
    <col min="15112" max="15112" width="9" style="113" bestFit="1" customWidth="1"/>
    <col min="15113" max="15113" width="16.5703125" style="113" bestFit="1" customWidth="1"/>
    <col min="15114" max="15114" width="14.28515625" style="113" bestFit="1" customWidth="1"/>
    <col min="15115" max="15115" width="12.140625" style="113" bestFit="1" customWidth="1"/>
    <col min="15116" max="15116" width="8.28515625" style="113" bestFit="1" customWidth="1"/>
    <col min="15117" max="15117" width="7.140625" style="113" bestFit="1" customWidth="1"/>
    <col min="15118" max="15118" width="43.7109375" style="113" bestFit="1" customWidth="1"/>
    <col min="15119" max="15360" width="8.85546875" style="113"/>
    <col min="15361" max="15361" width="34.140625" style="113" bestFit="1" customWidth="1"/>
    <col min="15362" max="15362" width="48.85546875" style="113" bestFit="1" customWidth="1"/>
    <col min="15363" max="15363" width="47.28515625" style="113" bestFit="1" customWidth="1"/>
    <col min="15364" max="15364" width="6" style="113" customWidth="1"/>
    <col min="15365" max="15365" width="30.7109375" style="113" bestFit="1" customWidth="1"/>
    <col min="15366" max="15366" width="26.140625" style="113" bestFit="1" customWidth="1"/>
    <col min="15367" max="15367" width="22.7109375" style="113" bestFit="1" customWidth="1"/>
    <col min="15368" max="15368" width="9" style="113" bestFit="1" customWidth="1"/>
    <col min="15369" max="15369" width="16.5703125" style="113" bestFit="1" customWidth="1"/>
    <col min="15370" max="15370" width="14.28515625" style="113" bestFit="1" customWidth="1"/>
    <col min="15371" max="15371" width="12.140625" style="113" bestFit="1" customWidth="1"/>
    <col min="15372" max="15372" width="8.28515625" style="113" bestFit="1" customWidth="1"/>
    <col min="15373" max="15373" width="7.140625" style="113" bestFit="1" customWidth="1"/>
    <col min="15374" max="15374" width="43.7109375" style="113" bestFit="1" customWidth="1"/>
    <col min="15375" max="15616" width="8.85546875" style="113"/>
    <col min="15617" max="15617" width="34.140625" style="113" bestFit="1" customWidth="1"/>
    <col min="15618" max="15618" width="48.85546875" style="113" bestFit="1" customWidth="1"/>
    <col min="15619" max="15619" width="47.28515625" style="113" bestFit="1" customWidth="1"/>
    <col min="15620" max="15620" width="6" style="113" customWidth="1"/>
    <col min="15621" max="15621" width="30.7109375" style="113" bestFit="1" customWidth="1"/>
    <col min="15622" max="15622" width="26.140625" style="113" bestFit="1" customWidth="1"/>
    <col min="15623" max="15623" width="22.7109375" style="113" bestFit="1" customWidth="1"/>
    <col min="15624" max="15624" width="9" style="113" bestFit="1" customWidth="1"/>
    <col min="15625" max="15625" width="16.5703125" style="113" bestFit="1" customWidth="1"/>
    <col min="15626" max="15626" width="14.28515625" style="113" bestFit="1" customWidth="1"/>
    <col min="15627" max="15627" width="12.140625" style="113" bestFit="1" customWidth="1"/>
    <col min="15628" max="15628" width="8.28515625" style="113" bestFit="1" customWidth="1"/>
    <col min="15629" max="15629" width="7.140625" style="113" bestFit="1" customWidth="1"/>
    <col min="15630" max="15630" width="43.7109375" style="113" bestFit="1" customWidth="1"/>
    <col min="15631" max="15872" width="8.85546875" style="113"/>
    <col min="15873" max="15873" width="34.140625" style="113" bestFit="1" customWidth="1"/>
    <col min="15874" max="15874" width="48.85546875" style="113" bestFit="1" customWidth="1"/>
    <col min="15875" max="15875" width="47.28515625" style="113" bestFit="1" customWidth="1"/>
    <col min="15876" max="15876" width="6" style="113" customWidth="1"/>
    <col min="15877" max="15877" width="30.7109375" style="113" bestFit="1" customWidth="1"/>
    <col min="15878" max="15878" width="26.140625" style="113" bestFit="1" customWidth="1"/>
    <col min="15879" max="15879" width="22.7109375" style="113" bestFit="1" customWidth="1"/>
    <col min="15880" max="15880" width="9" style="113" bestFit="1" customWidth="1"/>
    <col min="15881" max="15881" width="16.5703125" style="113" bestFit="1" customWidth="1"/>
    <col min="15882" max="15882" width="14.28515625" style="113" bestFit="1" customWidth="1"/>
    <col min="15883" max="15883" width="12.140625" style="113" bestFit="1" customWidth="1"/>
    <col min="15884" max="15884" width="8.28515625" style="113" bestFit="1" customWidth="1"/>
    <col min="15885" max="15885" width="7.140625" style="113" bestFit="1" customWidth="1"/>
    <col min="15886" max="15886" width="43.7109375" style="113" bestFit="1" customWidth="1"/>
    <col min="15887" max="16128" width="8.85546875" style="113"/>
    <col min="16129" max="16129" width="34.140625" style="113" bestFit="1" customWidth="1"/>
    <col min="16130" max="16130" width="48.85546875" style="113" bestFit="1" customWidth="1"/>
    <col min="16131" max="16131" width="47.28515625" style="113" bestFit="1" customWidth="1"/>
    <col min="16132" max="16132" width="6" style="113" customWidth="1"/>
    <col min="16133" max="16133" width="30.7109375" style="113" bestFit="1" customWidth="1"/>
    <col min="16134" max="16134" width="26.140625" style="113" bestFit="1" customWidth="1"/>
    <col min="16135" max="16135" width="22.7109375" style="113" bestFit="1" customWidth="1"/>
    <col min="16136" max="16136" width="9" style="113" bestFit="1" customWidth="1"/>
    <col min="16137" max="16137" width="16.5703125" style="113" bestFit="1" customWidth="1"/>
    <col min="16138" max="16138" width="14.28515625" style="113" bestFit="1" customWidth="1"/>
    <col min="16139" max="16139" width="12.140625" style="113" bestFit="1" customWidth="1"/>
    <col min="16140" max="16140" width="8.28515625" style="113" bestFit="1" customWidth="1"/>
    <col min="16141" max="16141" width="7.140625" style="113" bestFit="1" customWidth="1"/>
    <col min="16142" max="16142" width="43.7109375" style="113" bestFit="1" customWidth="1"/>
    <col min="16143" max="16384" width="8.85546875" style="113"/>
  </cols>
  <sheetData>
    <row r="1" spans="1:14" ht="15.75" customHeight="1">
      <c r="A1" s="214" t="s">
        <v>156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</row>
    <row r="2" spans="1:14" ht="14.25">
      <c r="A2" s="114" t="s">
        <v>157</v>
      </c>
      <c r="B2" s="215">
        <f>Bordero!C3</f>
        <v>35071253000130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7"/>
    </row>
    <row r="3" spans="1:14">
      <c r="A3" s="115" t="s">
        <v>158</v>
      </c>
      <c r="B3" s="218" t="str">
        <f>Bordero!C4</f>
        <v>LOGMA ENGENHARIA INDUSTRIAL LTDA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</row>
    <row r="4" spans="1:14" ht="13.5" thickBot="1">
      <c r="A4" s="116" t="s">
        <v>159</v>
      </c>
      <c r="B4" s="219" t="s">
        <v>160</v>
      </c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</row>
    <row r="5" spans="1:14">
      <c r="A5" s="122" t="s">
        <v>161</v>
      </c>
      <c r="B5" s="123" t="s">
        <v>162</v>
      </c>
      <c r="C5" s="123" t="s">
        <v>163</v>
      </c>
      <c r="D5" s="124" t="s">
        <v>164</v>
      </c>
      <c r="E5" s="123" t="s">
        <v>165</v>
      </c>
      <c r="F5" s="123" t="s">
        <v>166</v>
      </c>
      <c r="G5" s="123" t="s">
        <v>167</v>
      </c>
      <c r="H5" s="123" t="s">
        <v>148</v>
      </c>
      <c r="I5" s="123" t="s">
        <v>168</v>
      </c>
      <c r="J5" s="125" t="s">
        <v>126</v>
      </c>
      <c r="K5" s="126" t="s">
        <v>169</v>
      </c>
      <c r="L5" s="127" t="s">
        <v>170</v>
      </c>
      <c r="M5" s="127" t="s">
        <v>171</v>
      </c>
      <c r="N5" s="127" t="s">
        <v>1</v>
      </c>
    </row>
    <row r="6" spans="1:14" ht="15">
      <c r="A6" s="128" t="str">
        <f>Bordero!B9</f>
        <v>42422048000219</v>
      </c>
      <c r="B6" s="128">
        <f>Bordero!B10</f>
        <v>0</v>
      </c>
      <c r="C6" s="31"/>
      <c r="D6" s="31"/>
      <c r="E6" s="31"/>
      <c r="F6" s="31"/>
      <c r="G6" s="31"/>
      <c r="H6" s="129">
        <f>Bordero!K9</f>
        <v>65285000</v>
      </c>
      <c r="I6" s="128" t="str">
        <f>Bordero!D9</f>
        <v>145-001</v>
      </c>
      <c r="J6" s="128" t="str">
        <f>Bordero!F9</f>
        <v>08/07/2026</v>
      </c>
      <c r="K6" s="47">
        <f>Bordero!I9</f>
        <v>50000</v>
      </c>
      <c r="L6" s="130"/>
      <c r="M6" s="128" t="str">
        <f>Bordero!D9</f>
        <v>145-001</v>
      </c>
      <c r="N6" s="131">
        <f>Bordero!G9</f>
        <v>0</v>
      </c>
    </row>
    <row r="7" spans="1:14" ht="15">
      <c r="A7" s="128">
        <f>Bordero!B10</f>
        <v>0</v>
      </c>
      <c r="B7" s="128">
        <f>Bordero!B11</f>
        <v>0</v>
      </c>
      <c r="C7" s="31"/>
      <c r="D7" s="31"/>
      <c r="E7" s="31"/>
      <c r="F7" s="31"/>
      <c r="G7" s="31"/>
      <c r="H7" s="129">
        <f>Bordero!K10</f>
        <v>0</v>
      </c>
      <c r="I7" s="128">
        <f>Bordero!D10</f>
        <v>0</v>
      </c>
      <c r="J7" s="128">
        <f>Bordero!F10</f>
        <v>0</v>
      </c>
      <c r="K7" s="47">
        <f>Bordero!I10</f>
        <v>0</v>
      </c>
      <c r="L7" s="130"/>
      <c r="M7" s="128">
        <f>Bordero!D10</f>
        <v>0</v>
      </c>
      <c r="N7" s="131">
        <f>Bordero!G10</f>
        <v>0</v>
      </c>
    </row>
    <row r="8" spans="1:14" ht="15">
      <c r="A8" s="128">
        <f>Bordero!B11</f>
        <v>0</v>
      </c>
      <c r="B8" s="128">
        <f>Bordero!B12</f>
        <v>0</v>
      </c>
      <c r="C8" s="31"/>
      <c r="D8" s="31"/>
      <c r="E8" s="31"/>
      <c r="F8" s="31"/>
      <c r="G8" s="31"/>
      <c r="H8" s="129">
        <f>Bordero!K11</f>
        <v>0</v>
      </c>
      <c r="I8" s="128">
        <f>Bordero!D11</f>
        <v>0</v>
      </c>
      <c r="J8" s="128">
        <f>Bordero!F11</f>
        <v>0</v>
      </c>
      <c r="K8" s="47">
        <f>Bordero!I11</f>
        <v>0</v>
      </c>
      <c r="L8" s="130"/>
      <c r="M8" s="128">
        <f>Bordero!D11</f>
        <v>0</v>
      </c>
      <c r="N8" s="131">
        <f>Bordero!G11</f>
        <v>0</v>
      </c>
    </row>
    <row r="9" spans="1:14" ht="15">
      <c r="A9" s="128">
        <f>Bordero!B12</f>
        <v>0</v>
      </c>
      <c r="B9" s="128">
        <f>Bordero!B13</f>
        <v>0</v>
      </c>
      <c r="C9" s="31"/>
      <c r="D9" s="31"/>
      <c r="E9" s="31"/>
      <c r="F9" s="31"/>
      <c r="G9" s="31"/>
      <c r="H9" s="129">
        <f>Bordero!K12</f>
        <v>0</v>
      </c>
      <c r="I9" s="128">
        <f>Bordero!D12</f>
        <v>0</v>
      </c>
      <c r="J9" s="128">
        <f>Bordero!F12</f>
        <v>0</v>
      </c>
      <c r="K9" s="47">
        <f>Bordero!I12</f>
        <v>0</v>
      </c>
      <c r="L9" s="130"/>
      <c r="M9" s="128">
        <f>Bordero!D12</f>
        <v>0</v>
      </c>
      <c r="N9" s="131">
        <f>Bordero!G12</f>
        <v>0</v>
      </c>
    </row>
    <row r="10" spans="1:14" ht="15">
      <c r="A10" s="128">
        <f>Bordero!B13</f>
        <v>0</v>
      </c>
      <c r="B10" s="128">
        <f>Bordero!B14</f>
        <v>0</v>
      </c>
      <c r="C10" s="31"/>
      <c r="D10" s="31"/>
      <c r="E10" s="31"/>
      <c r="F10" s="31"/>
      <c r="G10" s="31"/>
      <c r="H10" s="129">
        <f>Bordero!K13</f>
        <v>0</v>
      </c>
      <c r="I10" s="128">
        <f>Bordero!D13</f>
        <v>0</v>
      </c>
      <c r="J10" s="128">
        <f>Bordero!F13</f>
        <v>0</v>
      </c>
      <c r="K10" s="47">
        <f>Bordero!I13</f>
        <v>0</v>
      </c>
      <c r="L10" s="130"/>
      <c r="M10" s="128">
        <f>Bordero!D13</f>
        <v>0</v>
      </c>
      <c r="N10" s="131">
        <f>Bordero!G13</f>
        <v>0</v>
      </c>
    </row>
    <row r="11" spans="1:14" ht="15">
      <c r="A11" s="128">
        <f>Bordero!B14</f>
        <v>0</v>
      </c>
      <c r="B11" s="128">
        <f>Bordero!B15</f>
        <v>0</v>
      </c>
      <c r="C11" s="31"/>
      <c r="D11" s="31"/>
      <c r="E11" s="31"/>
      <c r="F11" s="31"/>
      <c r="G11" s="31"/>
      <c r="H11" s="129">
        <f>Bordero!K14</f>
        <v>0</v>
      </c>
      <c r="I11" s="128">
        <f>Bordero!D14</f>
        <v>0</v>
      </c>
      <c r="J11" s="128">
        <f>Bordero!F14</f>
        <v>0</v>
      </c>
      <c r="K11" s="47">
        <f>Bordero!I14</f>
        <v>0</v>
      </c>
      <c r="L11" s="130"/>
      <c r="M11" s="128">
        <f>Bordero!D14</f>
        <v>0</v>
      </c>
      <c r="N11" s="131">
        <f>Bordero!G14</f>
        <v>0</v>
      </c>
    </row>
    <row r="12" spans="1:14" ht="15">
      <c r="A12" s="128">
        <f>Bordero!B15</f>
        <v>0</v>
      </c>
      <c r="B12" s="128">
        <f>Bordero!B16</f>
        <v>0</v>
      </c>
      <c r="C12" s="31"/>
      <c r="D12" s="31"/>
      <c r="E12" s="31"/>
      <c r="F12" s="31"/>
      <c r="G12" s="31"/>
      <c r="H12" s="129">
        <f>Bordero!K15</f>
        <v>0</v>
      </c>
      <c r="I12" s="128">
        <f>Bordero!D15</f>
        <v>0</v>
      </c>
      <c r="J12" s="128">
        <f>Bordero!F15</f>
        <v>0</v>
      </c>
      <c r="K12" s="47">
        <f>Bordero!I15</f>
        <v>0</v>
      </c>
      <c r="L12" s="130"/>
      <c r="M12" s="128">
        <f>Bordero!D15</f>
        <v>0</v>
      </c>
      <c r="N12" s="131">
        <f>Bordero!G15</f>
        <v>0</v>
      </c>
    </row>
    <row r="13" spans="1:14" ht="15">
      <c r="A13" s="128">
        <f>Bordero!B16</f>
        <v>0</v>
      </c>
      <c r="B13" s="128">
        <f>Bordero!B17</f>
        <v>0</v>
      </c>
      <c r="C13" s="31"/>
      <c r="D13" s="31"/>
      <c r="E13" s="31"/>
      <c r="F13" s="31"/>
      <c r="G13" s="31"/>
      <c r="H13" s="129">
        <f>Bordero!K16</f>
        <v>0</v>
      </c>
      <c r="I13" s="128">
        <f>Bordero!D16</f>
        <v>0</v>
      </c>
      <c r="J13" s="128">
        <f>Bordero!F16</f>
        <v>0</v>
      </c>
      <c r="K13" s="47">
        <f>Bordero!I16</f>
        <v>0</v>
      </c>
      <c r="L13" s="130"/>
      <c r="M13" s="128">
        <f>Bordero!D16</f>
        <v>0</v>
      </c>
      <c r="N13" s="131">
        <f>Bordero!G16</f>
        <v>0</v>
      </c>
    </row>
    <row r="14" spans="1:14" ht="15">
      <c r="A14" s="128">
        <f>Bordero!B17</f>
        <v>0</v>
      </c>
      <c r="B14" s="128">
        <f>Bordero!B18</f>
        <v>0</v>
      </c>
      <c r="C14" s="31"/>
      <c r="D14" s="31"/>
      <c r="E14" s="31"/>
      <c r="F14" s="31"/>
      <c r="G14" s="31"/>
      <c r="H14" s="129">
        <f>Bordero!K17</f>
        <v>0</v>
      </c>
      <c r="I14" s="128">
        <f>Bordero!D17</f>
        <v>0</v>
      </c>
      <c r="J14" s="128">
        <f>Bordero!F17</f>
        <v>0</v>
      </c>
      <c r="K14" s="47">
        <f>Bordero!I17</f>
        <v>0</v>
      </c>
      <c r="L14" s="130"/>
      <c r="M14" s="128">
        <f>Bordero!D17</f>
        <v>0</v>
      </c>
      <c r="N14" s="131">
        <f>Bordero!G17</f>
        <v>0</v>
      </c>
    </row>
    <row r="15" spans="1:14" ht="15">
      <c r="A15" s="128">
        <f>Bordero!B18</f>
        <v>0</v>
      </c>
      <c r="B15" s="128">
        <f>Bordero!B19</f>
        <v>0</v>
      </c>
      <c r="C15" s="31"/>
      <c r="D15" s="31"/>
      <c r="E15" s="31"/>
      <c r="F15" s="31"/>
      <c r="G15" s="31"/>
      <c r="H15" s="129">
        <f>Bordero!K18</f>
        <v>0</v>
      </c>
      <c r="I15" s="128">
        <f>Bordero!D18</f>
        <v>0</v>
      </c>
      <c r="J15" s="128">
        <f>Bordero!F18</f>
        <v>0</v>
      </c>
      <c r="K15" s="47">
        <f>Bordero!I18</f>
        <v>0</v>
      </c>
      <c r="L15" s="130"/>
      <c r="M15" s="128">
        <f>Bordero!D18</f>
        <v>0</v>
      </c>
      <c r="N15" s="131">
        <f>Bordero!G18</f>
        <v>0</v>
      </c>
    </row>
    <row r="16" spans="1:14" ht="15">
      <c r="A16" s="128">
        <f>Bordero!B19</f>
        <v>0</v>
      </c>
      <c r="B16" s="128">
        <f>Bordero!B20</f>
        <v>0</v>
      </c>
      <c r="C16" s="31"/>
      <c r="D16" s="31"/>
      <c r="E16" s="31"/>
      <c r="F16" s="31"/>
      <c r="G16" s="31"/>
      <c r="H16" s="129">
        <f>Bordero!K19</f>
        <v>0</v>
      </c>
      <c r="I16" s="128">
        <f>Bordero!D19</f>
        <v>0</v>
      </c>
      <c r="J16" s="128">
        <f>Bordero!F19</f>
        <v>0</v>
      </c>
      <c r="K16" s="47">
        <f>Bordero!I19</f>
        <v>0</v>
      </c>
      <c r="L16" s="130"/>
      <c r="M16" s="128">
        <f>Bordero!D19</f>
        <v>0</v>
      </c>
      <c r="N16" s="131">
        <f>Bordero!G19</f>
        <v>0</v>
      </c>
    </row>
    <row r="17" spans="1:14" ht="15">
      <c r="A17" s="128">
        <f>Bordero!B20</f>
        <v>0</v>
      </c>
      <c r="B17" s="128">
        <f>Bordero!B21</f>
        <v>0</v>
      </c>
      <c r="C17" s="31"/>
      <c r="D17" s="31"/>
      <c r="E17" s="31"/>
      <c r="F17" s="31"/>
      <c r="G17" s="31"/>
      <c r="H17" s="129">
        <f>Bordero!K20</f>
        <v>0</v>
      </c>
      <c r="I17" s="128">
        <f>Bordero!D20</f>
        <v>0</v>
      </c>
      <c r="J17" s="128">
        <f>Bordero!F20</f>
        <v>0</v>
      </c>
      <c r="K17" s="47">
        <f>Bordero!I20</f>
        <v>0</v>
      </c>
      <c r="L17" s="130"/>
      <c r="M17" s="128">
        <f>Bordero!D20</f>
        <v>0</v>
      </c>
      <c r="N17" s="131">
        <f>Bordero!G20</f>
        <v>0</v>
      </c>
    </row>
    <row r="18" spans="1:14" ht="15">
      <c r="A18" s="128">
        <f>Bordero!B21</f>
        <v>0</v>
      </c>
      <c r="B18" s="128">
        <f>Bordero!B22</f>
        <v>0</v>
      </c>
      <c r="C18" s="31"/>
      <c r="D18" s="31"/>
      <c r="E18" s="31"/>
      <c r="F18" s="31"/>
      <c r="G18" s="31"/>
      <c r="H18" s="129">
        <f>Bordero!K21</f>
        <v>0</v>
      </c>
      <c r="I18" s="128">
        <f>Bordero!D21</f>
        <v>0</v>
      </c>
      <c r="J18" s="128">
        <f>Bordero!F21</f>
        <v>0</v>
      </c>
      <c r="K18" s="47">
        <f>Bordero!I21</f>
        <v>0</v>
      </c>
      <c r="L18" s="130"/>
      <c r="M18" s="128">
        <f>Bordero!D21</f>
        <v>0</v>
      </c>
      <c r="N18" s="131">
        <f>Bordero!G21</f>
        <v>0</v>
      </c>
    </row>
    <row r="19" spans="1:14" ht="15">
      <c r="A19" s="128">
        <f>Bordero!B22</f>
        <v>0</v>
      </c>
      <c r="B19" s="128">
        <f>Bordero!B23</f>
        <v>0</v>
      </c>
      <c r="C19" s="31"/>
      <c r="D19" s="31"/>
      <c r="E19" s="31"/>
      <c r="F19" s="31"/>
      <c r="G19" s="31"/>
      <c r="H19" s="129">
        <f>Bordero!K22</f>
        <v>0</v>
      </c>
      <c r="I19" s="128">
        <f>Bordero!D22</f>
        <v>0</v>
      </c>
      <c r="J19" s="128">
        <f>Bordero!F22</f>
        <v>0</v>
      </c>
      <c r="K19" s="47">
        <f>Bordero!I22</f>
        <v>0</v>
      </c>
      <c r="L19" s="130"/>
      <c r="M19" s="128">
        <f>Bordero!D22</f>
        <v>0</v>
      </c>
      <c r="N19" s="131">
        <f>Bordero!G22</f>
        <v>0</v>
      </c>
    </row>
    <row r="20" spans="1:14" ht="15">
      <c r="A20" s="128">
        <f>Bordero!B23</f>
        <v>0</v>
      </c>
      <c r="B20" s="128">
        <f>Bordero!B24</f>
        <v>0</v>
      </c>
      <c r="C20" s="31"/>
      <c r="D20" s="31"/>
      <c r="E20" s="31"/>
      <c r="F20" s="31"/>
      <c r="G20" s="31"/>
      <c r="H20" s="129">
        <f>Bordero!K23</f>
        <v>0</v>
      </c>
      <c r="I20" s="128">
        <f>Bordero!D23</f>
        <v>0</v>
      </c>
      <c r="J20" s="128">
        <f>Bordero!F23</f>
        <v>0</v>
      </c>
      <c r="K20" s="47">
        <f>Bordero!I23</f>
        <v>0</v>
      </c>
      <c r="L20" s="130"/>
      <c r="M20" s="128">
        <f>Bordero!D23</f>
        <v>0</v>
      </c>
      <c r="N20" s="131">
        <f>Bordero!G23</f>
        <v>0</v>
      </c>
    </row>
    <row r="21" spans="1:14" ht="15">
      <c r="A21" s="128">
        <f>Bordero!B24</f>
        <v>0</v>
      </c>
      <c r="B21" s="128">
        <f>Bordero!B25</f>
        <v>0</v>
      </c>
      <c r="C21" s="31"/>
      <c r="D21" s="31"/>
      <c r="E21" s="31"/>
      <c r="F21" s="31"/>
      <c r="G21" s="31"/>
      <c r="H21" s="129">
        <f>Bordero!K24</f>
        <v>0</v>
      </c>
      <c r="I21" s="128">
        <f>Bordero!D24</f>
        <v>0</v>
      </c>
      <c r="J21" s="128">
        <f>Bordero!F24</f>
        <v>0</v>
      </c>
      <c r="K21" s="47">
        <f>Bordero!I24</f>
        <v>0</v>
      </c>
      <c r="L21" s="130"/>
      <c r="M21" s="128">
        <f>Bordero!D24</f>
        <v>0</v>
      </c>
      <c r="N21" s="131">
        <f>Bordero!G24</f>
        <v>0</v>
      </c>
    </row>
    <row r="22" spans="1:14" ht="15">
      <c r="A22" s="128">
        <f>Bordero!B25</f>
        <v>0</v>
      </c>
      <c r="B22" s="128">
        <f>Bordero!B26</f>
        <v>0</v>
      </c>
      <c r="C22" s="31"/>
      <c r="D22" s="31"/>
      <c r="E22" s="31"/>
      <c r="F22" s="31"/>
      <c r="G22" s="31"/>
      <c r="H22" s="129">
        <f>Bordero!K25</f>
        <v>0</v>
      </c>
      <c r="I22" s="128">
        <f>Bordero!D25</f>
        <v>0</v>
      </c>
      <c r="J22" s="128">
        <f>Bordero!F25</f>
        <v>0</v>
      </c>
      <c r="K22" s="47">
        <f>Bordero!I25</f>
        <v>0</v>
      </c>
      <c r="L22" s="130"/>
      <c r="M22" s="128">
        <f>Bordero!D25</f>
        <v>0</v>
      </c>
      <c r="N22" s="131">
        <f>Bordero!G25</f>
        <v>0</v>
      </c>
    </row>
    <row r="23" spans="1:14" ht="15">
      <c r="A23" s="128">
        <f>Bordero!B26</f>
        <v>0</v>
      </c>
      <c r="B23" s="128">
        <f>Bordero!B27</f>
        <v>0</v>
      </c>
      <c r="C23" s="31"/>
      <c r="D23" s="31"/>
      <c r="E23" s="31"/>
      <c r="F23" s="31"/>
      <c r="G23" s="31"/>
      <c r="H23" s="129">
        <f>Bordero!K26</f>
        <v>0</v>
      </c>
      <c r="I23" s="128">
        <f>Bordero!D26</f>
        <v>0</v>
      </c>
      <c r="J23" s="128">
        <f>Bordero!F26</f>
        <v>0</v>
      </c>
      <c r="K23" s="47">
        <f>Bordero!I26</f>
        <v>0</v>
      </c>
      <c r="L23" s="130"/>
      <c r="M23" s="128">
        <f>Bordero!D26</f>
        <v>0</v>
      </c>
      <c r="N23" s="131">
        <f>Bordero!G26</f>
        <v>0</v>
      </c>
    </row>
    <row r="24" spans="1:14" ht="15">
      <c r="A24" s="128">
        <f>Bordero!B27</f>
        <v>0</v>
      </c>
      <c r="B24" s="128">
        <f>Bordero!B28</f>
        <v>0</v>
      </c>
      <c r="C24" s="31"/>
      <c r="D24" s="31"/>
      <c r="E24" s="31"/>
      <c r="F24" s="31"/>
      <c r="G24" s="31"/>
      <c r="H24" s="129">
        <f>Bordero!K27</f>
        <v>0</v>
      </c>
      <c r="I24" s="128">
        <f>Bordero!D27</f>
        <v>0</v>
      </c>
      <c r="J24" s="128">
        <f>Bordero!F27</f>
        <v>0</v>
      </c>
      <c r="K24" s="47">
        <f>Bordero!I27</f>
        <v>0</v>
      </c>
      <c r="L24" s="130"/>
      <c r="M24" s="128">
        <f>Bordero!D27</f>
        <v>0</v>
      </c>
      <c r="N24" s="131">
        <f>Bordero!G27</f>
        <v>0</v>
      </c>
    </row>
    <row r="25" spans="1:14" ht="15">
      <c r="A25" s="128">
        <f>Bordero!B28</f>
        <v>0</v>
      </c>
      <c r="B25" s="128">
        <f>Bordero!B29</f>
        <v>0</v>
      </c>
      <c r="C25" s="31"/>
      <c r="D25" s="31"/>
      <c r="E25" s="31"/>
      <c r="F25" s="31"/>
      <c r="G25" s="31"/>
      <c r="H25" s="129">
        <f>Bordero!K28</f>
        <v>0</v>
      </c>
      <c r="I25" s="128">
        <f>Bordero!D28</f>
        <v>0</v>
      </c>
      <c r="J25" s="128">
        <f>Bordero!F28</f>
        <v>0</v>
      </c>
      <c r="K25" s="47">
        <f>Bordero!I28</f>
        <v>0</v>
      </c>
      <c r="L25" s="130"/>
      <c r="M25" s="128">
        <f>Bordero!D28</f>
        <v>0</v>
      </c>
      <c r="N25" s="131">
        <f>Bordero!G28</f>
        <v>0</v>
      </c>
    </row>
    <row r="26" spans="1:14" ht="15">
      <c r="A26" s="128">
        <f>Bordero!B29</f>
        <v>0</v>
      </c>
      <c r="B26" s="128">
        <f>Bordero!B30</f>
        <v>0</v>
      </c>
      <c r="C26" s="31"/>
      <c r="D26" s="31"/>
      <c r="E26" s="31"/>
      <c r="F26" s="31"/>
      <c r="G26" s="31"/>
      <c r="H26" s="129">
        <f>Bordero!K29</f>
        <v>0</v>
      </c>
      <c r="I26" s="128">
        <f>Bordero!D29</f>
        <v>0</v>
      </c>
      <c r="J26" s="128">
        <f>Bordero!F29</f>
        <v>0</v>
      </c>
      <c r="K26" s="47">
        <f>Bordero!I29</f>
        <v>0</v>
      </c>
      <c r="L26" s="130"/>
      <c r="M26" s="128">
        <f>Bordero!D29</f>
        <v>0</v>
      </c>
      <c r="N26" s="131">
        <f>Bordero!G29</f>
        <v>0</v>
      </c>
    </row>
    <row r="27" spans="1:14" ht="15">
      <c r="A27" s="128">
        <f>Bordero!B30</f>
        <v>0</v>
      </c>
      <c r="B27" s="128">
        <f>Bordero!B31</f>
        <v>0</v>
      </c>
      <c r="C27" s="31"/>
      <c r="D27" s="31"/>
      <c r="E27" s="31"/>
      <c r="F27" s="31"/>
      <c r="G27" s="31"/>
      <c r="H27" s="129">
        <f>Bordero!K30</f>
        <v>0</v>
      </c>
      <c r="I27" s="128">
        <f>Bordero!D30</f>
        <v>0</v>
      </c>
      <c r="J27" s="128">
        <f>Bordero!F30</f>
        <v>0</v>
      </c>
      <c r="K27" s="47">
        <f>Bordero!I30</f>
        <v>0</v>
      </c>
      <c r="L27" s="130"/>
      <c r="M27" s="128">
        <f>Bordero!D30</f>
        <v>0</v>
      </c>
      <c r="N27" s="131">
        <f>Bordero!G30</f>
        <v>0</v>
      </c>
    </row>
    <row r="28" spans="1:14" ht="15">
      <c r="A28" s="128">
        <f>Bordero!B31</f>
        <v>0</v>
      </c>
      <c r="B28" s="128">
        <f>Bordero!B32</f>
        <v>0</v>
      </c>
      <c r="C28" s="31"/>
      <c r="D28" s="31"/>
      <c r="E28" s="31"/>
      <c r="F28" s="31"/>
      <c r="G28" s="31"/>
      <c r="H28" s="129">
        <f>Bordero!K31</f>
        <v>0</v>
      </c>
      <c r="I28" s="128">
        <f>Bordero!D31</f>
        <v>0</v>
      </c>
      <c r="J28" s="128">
        <f>Bordero!F31</f>
        <v>0</v>
      </c>
      <c r="K28" s="47">
        <f>Bordero!I31</f>
        <v>0</v>
      </c>
      <c r="L28" s="130"/>
      <c r="M28" s="128">
        <f>Bordero!D31</f>
        <v>0</v>
      </c>
      <c r="N28" s="131">
        <f>Bordero!G31</f>
        <v>0</v>
      </c>
    </row>
    <row r="29" spans="1:14" ht="15">
      <c r="A29" s="128">
        <f>Bordero!B32</f>
        <v>0</v>
      </c>
      <c r="B29" s="128">
        <f>Bordero!B33</f>
        <v>0</v>
      </c>
      <c r="C29" s="31"/>
      <c r="D29" s="31"/>
      <c r="E29" s="31"/>
      <c r="F29" s="31"/>
      <c r="G29" s="31"/>
      <c r="H29" s="129">
        <f>Bordero!K32</f>
        <v>0</v>
      </c>
      <c r="I29" s="128">
        <f>Bordero!D32</f>
        <v>0</v>
      </c>
      <c r="J29" s="128">
        <f>Bordero!F32</f>
        <v>0</v>
      </c>
      <c r="K29" s="47">
        <f>Bordero!I32</f>
        <v>0</v>
      </c>
      <c r="L29" s="130"/>
      <c r="M29" s="128">
        <f>Bordero!D32</f>
        <v>0</v>
      </c>
      <c r="N29" s="131">
        <f>Bordero!G32</f>
        <v>0</v>
      </c>
    </row>
    <row r="30" spans="1:14" ht="15">
      <c r="A30" s="128">
        <f>Bordero!B33</f>
        <v>0</v>
      </c>
      <c r="B30" s="128">
        <f>Bordero!B34</f>
        <v>0</v>
      </c>
      <c r="C30" s="31"/>
      <c r="D30" s="31"/>
      <c r="E30" s="31"/>
      <c r="F30" s="31"/>
      <c r="G30" s="31"/>
      <c r="H30" s="129">
        <f>Bordero!K33</f>
        <v>0</v>
      </c>
      <c r="I30" s="128">
        <f>Bordero!D33</f>
        <v>0</v>
      </c>
      <c r="J30" s="128">
        <f>Bordero!F33</f>
        <v>0</v>
      </c>
      <c r="K30" s="47">
        <f>Bordero!I33</f>
        <v>0</v>
      </c>
      <c r="L30" s="130"/>
      <c r="M30" s="128">
        <f>Bordero!D33</f>
        <v>0</v>
      </c>
      <c r="N30" s="131">
        <f>Bordero!G33</f>
        <v>0</v>
      </c>
    </row>
    <row r="31" spans="1:14" ht="15">
      <c r="A31" s="128">
        <f>Bordero!B34</f>
        <v>0</v>
      </c>
      <c r="B31" s="128">
        <f>Bordero!B35</f>
        <v>0</v>
      </c>
      <c r="C31" s="31"/>
      <c r="D31" s="31"/>
      <c r="E31" s="31"/>
      <c r="F31" s="31"/>
      <c r="G31" s="31"/>
      <c r="H31" s="129">
        <f>Bordero!K34</f>
        <v>0</v>
      </c>
      <c r="I31" s="128">
        <f>Bordero!D34</f>
        <v>0</v>
      </c>
      <c r="J31" s="128">
        <f>Bordero!F34</f>
        <v>0</v>
      </c>
      <c r="K31" s="47">
        <f>Bordero!I34</f>
        <v>0</v>
      </c>
      <c r="L31" s="130"/>
      <c r="M31" s="128">
        <f>Bordero!D34</f>
        <v>0</v>
      </c>
      <c r="N31" s="131">
        <f>Bordero!G34</f>
        <v>0</v>
      </c>
    </row>
    <row r="32" spans="1:14" ht="15">
      <c r="A32" s="128">
        <f>Bordero!B35</f>
        <v>0</v>
      </c>
      <c r="B32" s="128">
        <f>Bordero!B36</f>
        <v>0</v>
      </c>
      <c r="C32" s="31"/>
      <c r="D32" s="31"/>
      <c r="E32" s="31"/>
      <c r="F32" s="31"/>
      <c r="G32" s="31"/>
      <c r="H32" s="129">
        <f>Bordero!K35</f>
        <v>0</v>
      </c>
      <c r="I32" s="128">
        <f>Bordero!D35</f>
        <v>0</v>
      </c>
      <c r="J32" s="128">
        <f>Bordero!F35</f>
        <v>0</v>
      </c>
      <c r="K32" s="47">
        <f>Bordero!I35</f>
        <v>0</v>
      </c>
      <c r="L32" s="130"/>
      <c r="M32" s="128">
        <f>Bordero!D35</f>
        <v>0</v>
      </c>
      <c r="N32" s="131">
        <f>Bordero!G35</f>
        <v>0</v>
      </c>
    </row>
    <row r="33" spans="1:14" ht="15">
      <c r="A33" s="128">
        <f>Bordero!B36</f>
        <v>0</v>
      </c>
      <c r="B33" s="128">
        <f>Bordero!B37</f>
        <v>0</v>
      </c>
      <c r="C33" s="31"/>
      <c r="D33" s="31"/>
      <c r="E33" s="31"/>
      <c r="F33" s="31"/>
      <c r="G33" s="31"/>
      <c r="H33" s="129">
        <f>Bordero!K36</f>
        <v>0</v>
      </c>
      <c r="I33" s="128">
        <f>Bordero!D36</f>
        <v>0</v>
      </c>
      <c r="J33" s="128">
        <f>Bordero!F36</f>
        <v>0</v>
      </c>
      <c r="K33" s="47">
        <f>Bordero!I36</f>
        <v>0</v>
      </c>
      <c r="L33" s="130"/>
      <c r="M33" s="128">
        <f>Bordero!D36</f>
        <v>0</v>
      </c>
      <c r="N33" s="131">
        <f>Bordero!G36</f>
        <v>0</v>
      </c>
    </row>
    <row r="34" spans="1:14" ht="15">
      <c r="A34" s="128">
        <f>Bordero!B37</f>
        <v>0</v>
      </c>
      <c r="B34" s="128">
        <f>Bordero!B38</f>
        <v>0</v>
      </c>
      <c r="C34" s="31"/>
      <c r="D34" s="31"/>
      <c r="E34" s="31"/>
      <c r="F34" s="31"/>
      <c r="G34" s="31"/>
      <c r="H34" s="129">
        <f>Bordero!K37</f>
        <v>0</v>
      </c>
      <c r="I34" s="128">
        <f>Bordero!D37</f>
        <v>0</v>
      </c>
      <c r="J34" s="128">
        <f>Bordero!F37</f>
        <v>0</v>
      </c>
      <c r="K34" s="47">
        <f>Bordero!I37</f>
        <v>0</v>
      </c>
      <c r="L34" s="130"/>
      <c r="M34" s="128">
        <f>Bordero!D37</f>
        <v>0</v>
      </c>
      <c r="N34" s="131">
        <f>Bordero!G37</f>
        <v>0</v>
      </c>
    </row>
    <row r="35" spans="1:14" ht="15">
      <c r="A35" s="128">
        <f>Bordero!B38</f>
        <v>0</v>
      </c>
      <c r="B35" s="128">
        <f>Bordero!B39</f>
        <v>0</v>
      </c>
      <c r="C35" s="31"/>
      <c r="D35" s="31"/>
      <c r="E35" s="31"/>
      <c r="F35" s="31"/>
      <c r="G35" s="31"/>
      <c r="H35" s="129">
        <f>Bordero!K38</f>
        <v>0</v>
      </c>
      <c r="I35" s="128">
        <f>Bordero!D38</f>
        <v>0</v>
      </c>
      <c r="J35" s="128">
        <f>Bordero!F38</f>
        <v>0</v>
      </c>
      <c r="K35" s="47">
        <f>Bordero!I38</f>
        <v>0</v>
      </c>
      <c r="L35" s="130"/>
      <c r="M35" s="128">
        <f>Bordero!D38</f>
        <v>0</v>
      </c>
      <c r="N35" s="131">
        <f>Bordero!G38</f>
        <v>0</v>
      </c>
    </row>
    <row r="36" spans="1:14" ht="15">
      <c r="A36" s="128">
        <f>Bordero!B39</f>
        <v>0</v>
      </c>
      <c r="B36" s="128">
        <f>Bordero!B40</f>
        <v>0</v>
      </c>
      <c r="C36" s="31"/>
      <c r="D36" s="31"/>
      <c r="E36" s="31"/>
      <c r="F36" s="31"/>
      <c r="G36" s="31"/>
      <c r="H36" s="129">
        <f>Bordero!K39</f>
        <v>0</v>
      </c>
      <c r="I36" s="128">
        <f>Bordero!D39</f>
        <v>0</v>
      </c>
      <c r="J36" s="128">
        <f>Bordero!F39</f>
        <v>0</v>
      </c>
      <c r="K36" s="47">
        <f>Bordero!I39</f>
        <v>0</v>
      </c>
      <c r="L36" s="130"/>
      <c r="M36" s="128">
        <f>Bordero!D39</f>
        <v>0</v>
      </c>
      <c r="N36" s="131">
        <f>Bordero!G39</f>
        <v>0</v>
      </c>
    </row>
    <row r="37" spans="1:14" ht="15">
      <c r="A37" s="128">
        <f>Bordero!B40</f>
        <v>0</v>
      </c>
      <c r="B37" s="128">
        <f>Bordero!B41</f>
        <v>0</v>
      </c>
      <c r="C37" s="31"/>
      <c r="D37" s="31"/>
      <c r="E37" s="31"/>
      <c r="F37" s="31"/>
      <c r="G37" s="31"/>
      <c r="H37" s="129">
        <f>Bordero!K40</f>
        <v>0</v>
      </c>
      <c r="I37" s="128">
        <f>Bordero!D40</f>
        <v>0</v>
      </c>
      <c r="J37" s="128">
        <f>Bordero!F40</f>
        <v>0</v>
      </c>
      <c r="K37" s="47">
        <f>Bordero!I40</f>
        <v>0</v>
      </c>
      <c r="L37" s="130"/>
      <c r="M37" s="128">
        <f>Bordero!D40</f>
        <v>0</v>
      </c>
      <c r="N37" s="131">
        <f>Bordero!G40</f>
        <v>0</v>
      </c>
    </row>
    <row r="38" spans="1:14" ht="15">
      <c r="A38" s="128">
        <f>Bordero!B41</f>
        <v>0</v>
      </c>
      <c r="B38" s="128">
        <f>Bordero!B42</f>
        <v>0</v>
      </c>
      <c r="C38" s="31"/>
      <c r="D38" s="31"/>
      <c r="E38" s="31"/>
      <c r="F38" s="31"/>
      <c r="G38" s="31"/>
      <c r="H38" s="129">
        <f>Bordero!K41</f>
        <v>0</v>
      </c>
      <c r="I38" s="128">
        <f>Bordero!D41</f>
        <v>0</v>
      </c>
      <c r="J38" s="128">
        <f>Bordero!F41</f>
        <v>0</v>
      </c>
      <c r="K38" s="47">
        <f>Bordero!I41</f>
        <v>0</v>
      </c>
      <c r="L38" s="130"/>
      <c r="M38" s="128">
        <f>Bordero!D41</f>
        <v>0</v>
      </c>
      <c r="N38" s="131">
        <f>Bordero!G41</f>
        <v>0</v>
      </c>
    </row>
    <row r="39" spans="1:14" ht="15">
      <c r="A39" s="128">
        <f>Bordero!B42</f>
        <v>0</v>
      </c>
      <c r="B39" s="128">
        <f>Bordero!B43</f>
        <v>0</v>
      </c>
      <c r="C39" s="31"/>
      <c r="D39" s="31"/>
      <c r="E39" s="31"/>
      <c r="F39" s="31"/>
      <c r="G39" s="31"/>
      <c r="H39" s="129">
        <f>Bordero!K42</f>
        <v>0</v>
      </c>
      <c r="I39" s="128">
        <f>Bordero!D42</f>
        <v>0</v>
      </c>
      <c r="J39" s="128">
        <f>Bordero!F42</f>
        <v>0</v>
      </c>
      <c r="K39" s="47">
        <f>Bordero!I42</f>
        <v>0</v>
      </c>
      <c r="L39" s="130"/>
      <c r="M39" s="128">
        <f>Bordero!D42</f>
        <v>0</v>
      </c>
      <c r="N39" s="131">
        <f>Bordero!G42</f>
        <v>0</v>
      </c>
    </row>
    <row r="40" spans="1:14" ht="15">
      <c r="A40" s="128">
        <f>Bordero!B43</f>
        <v>0</v>
      </c>
      <c r="B40" s="128">
        <f>Bordero!B44</f>
        <v>0</v>
      </c>
      <c r="C40" s="31"/>
      <c r="D40" s="31"/>
      <c r="E40" s="31"/>
      <c r="F40" s="31"/>
      <c r="G40" s="31"/>
      <c r="H40" s="129">
        <f>Bordero!K43</f>
        <v>0</v>
      </c>
      <c r="I40" s="128">
        <f>Bordero!D43</f>
        <v>0</v>
      </c>
      <c r="J40" s="128">
        <f>Bordero!F43</f>
        <v>0</v>
      </c>
      <c r="K40" s="47">
        <f>Bordero!I43</f>
        <v>0</v>
      </c>
      <c r="L40" s="130"/>
      <c r="M40" s="128">
        <f>Bordero!D43</f>
        <v>0</v>
      </c>
      <c r="N40" s="131">
        <f>Bordero!G43</f>
        <v>0</v>
      </c>
    </row>
    <row r="41" spans="1:14" ht="15">
      <c r="A41" s="128">
        <f>Bordero!B44</f>
        <v>0</v>
      </c>
      <c r="B41" s="128">
        <f>Bordero!B45</f>
        <v>0</v>
      </c>
      <c r="C41" s="31"/>
      <c r="D41" s="31"/>
      <c r="E41" s="31"/>
      <c r="F41" s="31"/>
      <c r="G41" s="31"/>
      <c r="H41" s="129">
        <f>Bordero!K44</f>
        <v>0</v>
      </c>
      <c r="I41" s="128">
        <f>Bordero!D44</f>
        <v>0</v>
      </c>
      <c r="J41" s="128">
        <f>Bordero!F44</f>
        <v>0</v>
      </c>
      <c r="K41" s="47">
        <f>Bordero!I44</f>
        <v>0</v>
      </c>
      <c r="L41" s="130"/>
      <c r="M41" s="128">
        <f>Bordero!D44</f>
        <v>0</v>
      </c>
      <c r="N41" s="131">
        <f>Bordero!G44</f>
        <v>0</v>
      </c>
    </row>
    <row r="42" spans="1:14" ht="15">
      <c r="A42" s="128">
        <f>Bordero!B45</f>
        <v>0</v>
      </c>
      <c r="B42" s="128">
        <f>Bordero!B46</f>
        <v>0</v>
      </c>
      <c r="C42" s="31"/>
      <c r="D42" s="31"/>
      <c r="E42" s="31"/>
      <c r="F42" s="31"/>
      <c r="G42" s="31"/>
      <c r="H42" s="129">
        <f>Bordero!K45</f>
        <v>0</v>
      </c>
      <c r="I42" s="128">
        <f>Bordero!D45</f>
        <v>0</v>
      </c>
      <c r="J42" s="128">
        <f>Bordero!F45</f>
        <v>0</v>
      </c>
      <c r="K42" s="47">
        <f>Bordero!I45</f>
        <v>0</v>
      </c>
      <c r="L42" s="130"/>
      <c r="M42" s="128">
        <f>Bordero!D45</f>
        <v>0</v>
      </c>
      <c r="N42" s="131">
        <f>Bordero!G45</f>
        <v>0</v>
      </c>
    </row>
    <row r="43" spans="1:14" ht="15">
      <c r="A43" s="128">
        <f>Bordero!B46</f>
        <v>0</v>
      </c>
      <c r="B43" s="128">
        <f>Bordero!B47</f>
        <v>0</v>
      </c>
      <c r="C43" s="31"/>
      <c r="D43" s="31"/>
      <c r="E43" s="31"/>
      <c r="F43" s="31"/>
      <c r="G43" s="31"/>
      <c r="H43" s="129">
        <f>Bordero!K46</f>
        <v>0</v>
      </c>
      <c r="I43" s="128">
        <f>Bordero!D46</f>
        <v>0</v>
      </c>
      <c r="J43" s="128">
        <f>Bordero!F46</f>
        <v>0</v>
      </c>
      <c r="K43" s="47">
        <f>Bordero!I46</f>
        <v>0</v>
      </c>
      <c r="L43" s="130"/>
      <c r="M43" s="128">
        <f>Bordero!D46</f>
        <v>0</v>
      </c>
      <c r="N43" s="131">
        <f>Bordero!G46</f>
        <v>0</v>
      </c>
    </row>
    <row r="44" spans="1:14" ht="15">
      <c r="A44" s="128">
        <f>Bordero!B47</f>
        <v>0</v>
      </c>
      <c r="B44" s="128">
        <f>Bordero!B48</f>
        <v>0</v>
      </c>
      <c r="C44" s="31"/>
      <c r="D44" s="31"/>
      <c r="E44" s="31"/>
      <c r="F44" s="31"/>
      <c r="G44" s="31"/>
      <c r="H44" s="129">
        <f>Bordero!K47</f>
        <v>0</v>
      </c>
      <c r="I44" s="128">
        <f>Bordero!D47</f>
        <v>0</v>
      </c>
      <c r="J44" s="128">
        <f>Bordero!F47</f>
        <v>0</v>
      </c>
      <c r="K44" s="47">
        <f>Bordero!I47</f>
        <v>0</v>
      </c>
      <c r="L44" s="130"/>
      <c r="M44" s="128">
        <f>Bordero!D47</f>
        <v>0</v>
      </c>
      <c r="N44" s="131">
        <f>Bordero!G47</f>
        <v>0</v>
      </c>
    </row>
    <row r="45" spans="1:14" ht="15">
      <c r="A45" s="128">
        <f>Bordero!B48</f>
        <v>0</v>
      </c>
      <c r="B45" s="128">
        <f>Bordero!B49</f>
        <v>0</v>
      </c>
      <c r="C45" s="31"/>
      <c r="D45" s="31"/>
      <c r="E45" s="31"/>
      <c r="F45" s="31"/>
      <c r="G45" s="31"/>
      <c r="H45" s="129">
        <f>Bordero!K48</f>
        <v>0</v>
      </c>
      <c r="I45" s="128">
        <f>Bordero!D48</f>
        <v>0</v>
      </c>
      <c r="J45" s="128">
        <f>Bordero!F48</f>
        <v>0</v>
      </c>
      <c r="K45" s="47">
        <f>Bordero!I48</f>
        <v>0</v>
      </c>
      <c r="L45" s="130"/>
      <c r="M45" s="128">
        <f>Bordero!D48</f>
        <v>0</v>
      </c>
      <c r="N45" s="131">
        <f>Bordero!G48</f>
        <v>0</v>
      </c>
    </row>
    <row r="46" spans="1:14" ht="15">
      <c r="A46" s="128">
        <f>Bordero!B49</f>
        <v>0</v>
      </c>
      <c r="B46" s="128">
        <f>Bordero!B50</f>
        <v>0</v>
      </c>
      <c r="C46" s="31"/>
      <c r="D46" s="31"/>
      <c r="E46" s="31"/>
      <c r="F46" s="31"/>
      <c r="G46" s="31"/>
      <c r="H46" s="129">
        <f>Bordero!K49</f>
        <v>0</v>
      </c>
      <c r="I46" s="128">
        <f>Bordero!D49</f>
        <v>0</v>
      </c>
      <c r="J46" s="128">
        <f>Bordero!F49</f>
        <v>0</v>
      </c>
      <c r="K46" s="47">
        <f>Bordero!I49</f>
        <v>0</v>
      </c>
      <c r="L46" s="130"/>
      <c r="M46" s="128">
        <f>Bordero!D49</f>
        <v>0</v>
      </c>
      <c r="N46" s="131">
        <f>Bordero!G49</f>
        <v>0</v>
      </c>
    </row>
    <row r="47" spans="1:14" ht="15">
      <c r="A47" s="128">
        <f>Bordero!B50</f>
        <v>0</v>
      </c>
      <c r="B47" s="128">
        <f>Bordero!B51</f>
        <v>0</v>
      </c>
      <c r="C47" s="31"/>
      <c r="D47" s="31"/>
      <c r="E47" s="31"/>
      <c r="F47" s="31"/>
      <c r="G47" s="31"/>
      <c r="H47" s="129">
        <f>Bordero!K50</f>
        <v>0</v>
      </c>
      <c r="I47" s="128">
        <f>Bordero!D50</f>
        <v>0</v>
      </c>
      <c r="J47" s="128">
        <f>Bordero!F50</f>
        <v>0</v>
      </c>
      <c r="K47" s="47">
        <f>Bordero!I50</f>
        <v>0</v>
      </c>
      <c r="L47" s="130"/>
      <c r="M47" s="128">
        <f>Bordero!D50</f>
        <v>0</v>
      </c>
      <c r="N47" s="131">
        <f>Bordero!G50</f>
        <v>0</v>
      </c>
    </row>
    <row r="48" spans="1:14" ht="15">
      <c r="A48" s="128">
        <f>Bordero!B51</f>
        <v>0</v>
      </c>
      <c r="B48" s="128">
        <f>Bordero!B52</f>
        <v>0</v>
      </c>
      <c r="C48" s="31"/>
      <c r="D48" s="31"/>
      <c r="E48" s="31"/>
      <c r="F48" s="31"/>
      <c r="G48" s="31"/>
      <c r="H48" s="129">
        <f>Bordero!K51</f>
        <v>0</v>
      </c>
      <c r="I48" s="128">
        <f>Bordero!D51</f>
        <v>0</v>
      </c>
      <c r="J48" s="128">
        <f>Bordero!F51</f>
        <v>0</v>
      </c>
      <c r="K48" s="47">
        <f>Bordero!I51</f>
        <v>0</v>
      </c>
      <c r="L48" s="130"/>
      <c r="M48" s="128">
        <f>Bordero!D51</f>
        <v>0</v>
      </c>
      <c r="N48" s="131">
        <f>Bordero!G51</f>
        <v>0</v>
      </c>
    </row>
    <row r="49" spans="1:14" ht="15">
      <c r="A49" s="128">
        <f>Bordero!B52</f>
        <v>0</v>
      </c>
      <c r="B49" s="128">
        <f>Bordero!B53</f>
        <v>0</v>
      </c>
      <c r="C49" s="31"/>
      <c r="D49" s="31"/>
      <c r="E49" s="31"/>
      <c r="F49" s="31"/>
      <c r="G49" s="31"/>
      <c r="H49" s="129">
        <f>Bordero!K52</f>
        <v>0</v>
      </c>
      <c r="I49" s="128">
        <f>Bordero!D52</f>
        <v>0</v>
      </c>
      <c r="J49" s="128">
        <f>Bordero!F52</f>
        <v>0</v>
      </c>
      <c r="K49" s="47">
        <f>Bordero!I52</f>
        <v>0</v>
      </c>
      <c r="L49" s="130"/>
      <c r="M49" s="128">
        <f>Bordero!D52</f>
        <v>0</v>
      </c>
      <c r="N49" s="131">
        <f>Bordero!G52</f>
        <v>0</v>
      </c>
    </row>
    <row r="50" spans="1:14" ht="15">
      <c r="A50" s="128">
        <f>Bordero!B53</f>
        <v>0</v>
      </c>
      <c r="B50" s="128">
        <f>Bordero!B54</f>
        <v>0</v>
      </c>
      <c r="C50" s="31"/>
      <c r="D50" s="31"/>
      <c r="E50" s="31"/>
      <c r="F50" s="31"/>
      <c r="G50" s="31"/>
      <c r="H50" s="129">
        <f>Bordero!K53</f>
        <v>0</v>
      </c>
      <c r="I50" s="128">
        <f>Bordero!D53</f>
        <v>0</v>
      </c>
      <c r="J50" s="128">
        <f>Bordero!F53</f>
        <v>0</v>
      </c>
      <c r="K50" s="47">
        <f>Bordero!I53</f>
        <v>0</v>
      </c>
      <c r="L50" s="130"/>
      <c r="M50" s="128">
        <f>Bordero!D53</f>
        <v>0</v>
      </c>
      <c r="N50" s="131">
        <f>Bordero!G53</f>
        <v>0</v>
      </c>
    </row>
    <row r="51" spans="1:14" ht="15">
      <c r="A51" s="128">
        <f>Bordero!B54</f>
        <v>0</v>
      </c>
      <c r="B51" s="128">
        <f>Bordero!B55</f>
        <v>0</v>
      </c>
      <c r="C51" s="31"/>
      <c r="D51" s="31"/>
      <c r="E51" s="31"/>
      <c r="F51" s="31"/>
      <c r="G51" s="31"/>
      <c r="H51" s="129">
        <f>Bordero!K54</f>
        <v>0</v>
      </c>
      <c r="I51" s="128">
        <f>Bordero!D54</f>
        <v>0</v>
      </c>
      <c r="J51" s="128">
        <f>Bordero!F54</f>
        <v>0</v>
      </c>
      <c r="K51" s="47">
        <f>Bordero!I54</f>
        <v>0</v>
      </c>
      <c r="L51" s="130"/>
      <c r="M51" s="128">
        <f>Bordero!D54</f>
        <v>0</v>
      </c>
      <c r="N51" s="131">
        <f>Bordero!G54</f>
        <v>0</v>
      </c>
    </row>
    <row r="52" spans="1:14" ht="15">
      <c r="A52" s="128">
        <f>Bordero!B55</f>
        <v>0</v>
      </c>
      <c r="B52" s="128">
        <f>Bordero!B56</f>
        <v>0</v>
      </c>
      <c r="C52" s="31"/>
      <c r="D52" s="31"/>
      <c r="E52" s="31"/>
      <c r="F52" s="31"/>
      <c r="G52" s="31"/>
      <c r="H52" s="129">
        <f>Bordero!K55</f>
        <v>0</v>
      </c>
      <c r="I52" s="128">
        <f>Bordero!D55</f>
        <v>0</v>
      </c>
      <c r="J52" s="128">
        <f>Bordero!F55</f>
        <v>0</v>
      </c>
      <c r="K52" s="47">
        <f>Bordero!I55</f>
        <v>0</v>
      </c>
      <c r="L52" s="130"/>
      <c r="M52" s="128">
        <f>Bordero!D55</f>
        <v>0</v>
      </c>
      <c r="N52" s="131">
        <f>Bordero!G55</f>
        <v>0</v>
      </c>
    </row>
    <row r="53" spans="1:14" ht="15">
      <c r="A53" s="128">
        <f>Bordero!B56</f>
        <v>0</v>
      </c>
      <c r="B53" s="128">
        <f>Bordero!B57</f>
        <v>0</v>
      </c>
      <c r="C53" s="31"/>
      <c r="D53" s="31"/>
      <c r="E53" s="31"/>
      <c r="F53" s="31"/>
      <c r="G53" s="31"/>
      <c r="H53" s="129">
        <f>Bordero!K56</f>
        <v>0</v>
      </c>
      <c r="I53" s="128">
        <f>Bordero!D56</f>
        <v>0</v>
      </c>
      <c r="J53" s="128">
        <f>Bordero!F56</f>
        <v>0</v>
      </c>
      <c r="K53" s="47">
        <f>Bordero!I56</f>
        <v>0</v>
      </c>
      <c r="L53" s="130"/>
      <c r="M53" s="128">
        <f>Bordero!D56</f>
        <v>0</v>
      </c>
      <c r="N53" s="131">
        <f>Bordero!G56</f>
        <v>0</v>
      </c>
    </row>
    <row r="54" spans="1:14" ht="15">
      <c r="A54" s="128">
        <f>Bordero!B57</f>
        <v>0</v>
      </c>
      <c r="B54" s="128">
        <f>Bordero!B58</f>
        <v>0</v>
      </c>
      <c r="C54" s="31"/>
      <c r="D54" s="31"/>
      <c r="E54" s="31"/>
      <c r="F54" s="31"/>
      <c r="G54" s="31"/>
      <c r="H54" s="129">
        <f>Bordero!K57</f>
        <v>0</v>
      </c>
      <c r="I54" s="128">
        <f>Bordero!D57</f>
        <v>0</v>
      </c>
      <c r="J54" s="128">
        <f>Bordero!F57</f>
        <v>0</v>
      </c>
      <c r="K54" s="47">
        <f>Bordero!I57</f>
        <v>0</v>
      </c>
      <c r="L54" s="130"/>
      <c r="M54" s="128">
        <f>Bordero!D57</f>
        <v>0</v>
      </c>
      <c r="N54" s="131">
        <f>Bordero!G57</f>
        <v>0</v>
      </c>
    </row>
    <row r="55" spans="1:14" ht="15">
      <c r="A55" s="128">
        <f>Bordero!B58</f>
        <v>0</v>
      </c>
      <c r="B55" s="128">
        <f>Bordero!B59</f>
        <v>0</v>
      </c>
      <c r="C55" s="31"/>
      <c r="D55" s="31"/>
      <c r="E55" s="31"/>
      <c r="F55" s="31"/>
      <c r="G55" s="31"/>
      <c r="H55" s="129">
        <f>Bordero!K58</f>
        <v>0</v>
      </c>
      <c r="I55" s="128">
        <f>Bordero!D58</f>
        <v>0</v>
      </c>
      <c r="J55" s="128">
        <f>Bordero!F58</f>
        <v>0</v>
      </c>
      <c r="K55" s="47">
        <f>Bordero!I58</f>
        <v>0</v>
      </c>
      <c r="L55" s="130"/>
      <c r="M55" s="128">
        <f>Bordero!D58</f>
        <v>0</v>
      </c>
      <c r="N55" s="131">
        <f>Bordero!G58</f>
        <v>0</v>
      </c>
    </row>
    <row r="56" spans="1:14" ht="15">
      <c r="A56" s="128">
        <f>Bordero!B59</f>
        <v>0</v>
      </c>
      <c r="B56" s="128">
        <f>Bordero!B60</f>
        <v>0</v>
      </c>
      <c r="C56" s="31"/>
      <c r="D56" s="31"/>
      <c r="E56" s="31"/>
      <c r="F56" s="31"/>
      <c r="G56" s="31"/>
      <c r="H56" s="129">
        <f>Bordero!K59</f>
        <v>0</v>
      </c>
      <c r="I56" s="128">
        <f>Bordero!D59</f>
        <v>0</v>
      </c>
      <c r="J56" s="128">
        <f>Bordero!F59</f>
        <v>0</v>
      </c>
      <c r="K56" s="47">
        <f>Bordero!I59</f>
        <v>0</v>
      </c>
      <c r="L56" s="130"/>
      <c r="M56" s="128">
        <f>Bordero!D59</f>
        <v>0</v>
      </c>
      <c r="N56" s="131">
        <f>Bordero!G59</f>
        <v>0</v>
      </c>
    </row>
    <row r="57" spans="1:14" ht="15">
      <c r="A57" s="128">
        <f>Bordero!B60</f>
        <v>0</v>
      </c>
      <c r="B57" s="128">
        <f>Bordero!B61</f>
        <v>0</v>
      </c>
      <c r="C57" s="31"/>
      <c r="D57" s="31"/>
      <c r="E57" s="31"/>
      <c r="F57" s="31"/>
      <c r="G57" s="31"/>
      <c r="H57" s="129">
        <f>Bordero!K60</f>
        <v>0</v>
      </c>
      <c r="I57" s="128">
        <f>Bordero!D60</f>
        <v>0</v>
      </c>
      <c r="J57" s="128">
        <f>Bordero!F60</f>
        <v>0</v>
      </c>
      <c r="K57" s="47">
        <f>Bordero!I60</f>
        <v>0</v>
      </c>
      <c r="L57" s="130"/>
      <c r="M57" s="128">
        <f>Bordero!D60</f>
        <v>0</v>
      </c>
      <c r="N57" s="131">
        <f>Bordero!G60</f>
        <v>0</v>
      </c>
    </row>
    <row r="58" spans="1:14" ht="15">
      <c r="A58" s="128">
        <f>Bordero!B61</f>
        <v>0</v>
      </c>
      <c r="B58" s="128">
        <f>Bordero!B62</f>
        <v>0</v>
      </c>
      <c r="C58" s="31"/>
      <c r="D58" s="31"/>
      <c r="E58" s="31"/>
      <c r="F58" s="31"/>
      <c r="G58" s="31"/>
      <c r="H58" s="129">
        <f>Bordero!K61</f>
        <v>0</v>
      </c>
      <c r="I58" s="128">
        <f>Bordero!D61</f>
        <v>0</v>
      </c>
      <c r="J58" s="128">
        <f>Bordero!F61</f>
        <v>0</v>
      </c>
      <c r="K58" s="47">
        <f>Bordero!I61</f>
        <v>0</v>
      </c>
      <c r="L58" s="130"/>
      <c r="M58" s="128">
        <f>Bordero!D61</f>
        <v>0</v>
      </c>
      <c r="N58" s="131">
        <f>Bordero!G61</f>
        <v>0</v>
      </c>
    </row>
    <row r="59" spans="1:14" ht="15">
      <c r="A59" s="128">
        <f>Bordero!B62</f>
        <v>0</v>
      </c>
      <c r="B59" s="128">
        <f>Bordero!B63</f>
        <v>0</v>
      </c>
      <c r="C59" s="31"/>
      <c r="D59" s="31"/>
      <c r="E59" s="31"/>
      <c r="F59" s="31"/>
      <c r="G59" s="31"/>
      <c r="H59" s="129">
        <f>Bordero!K62</f>
        <v>0</v>
      </c>
      <c r="I59" s="128">
        <f>Bordero!D62</f>
        <v>0</v>
      </c>
      <c r="J59" s="128">
        <f>Bordero!F62</f>
        <v>0</v>
      </c>
      <c r="K59" s="47">
        <f>Bordero!I62</f>
        <v>0</v>
      </c>
      <c r="L59" s="130"/>
      <c r="M59" s="128">
        <f>Bordero!D62</f>
        <v>0</v>
      </c>
      <c r="N59" s="131">
        <f>Bordero!G62</f>
        <v>0</v>
      </c>
    </row>
    <row r="60" spans="1:14" ht="15">
      <c r="A60" s="128">
        <f>Bordero!B63</f>
        <v>0</v>
      </c>
      <c r="B60" s="128">
        <f>Bordero!B64</f>
        <v>0</v>
      </c>
      <c r="C60" s="31"/>
      <c r="D60" s="31"/>
      <c r="E60" s="31"/>
      <c r="F60" s="31"/>
      <c r="G60" s="31"/>
      <c r="H60" s="129">
        <f>Bordero!K63</f>
        <v>0</v>
      </c>
      <c r="I60" s="128">
        <f>Bordero!D63</f>
        <v>0</v>
      </c>
      <c r="J60" s="128">
        <f>Bordero!F63</f>
        <v>0</v>
      </c>
      <c r="K60" s="47">
        <f>Bordero!I63</f>
        <v>0</v>
      </c>
      <c r="L60" s="130"/>
      <c r="M60" s="128">
        <f>Bordero!D63</f>
        <v>0</v>
      </c>
      <c r="N60" s="131">
        <f>Bordero!G63</f>
        <v>0</v>
      </c>
    </row>
    <row r="61" spans="1:14" ht="15">
      <c r="A61" s="128">
        <f>Bordero!B64</f>
        <v>0</v>
      </c>
      <c r="B61" s="128">
        <f>Bordero!B65</f>
        <v>0</v>
      </c>
      <c r="C61" s="31"/>
      <c r="D61" s="31"/>
      <c r="E61" s="31"/>
      <c r="F61" s="31"/>
      <c r="G61" s="31"/>
      <c r="H61" s="129">
        <f>Bordero!K64</f>
        <v>0</v>
      </c>
      <c r="I61" s="128">
        <f>Bordero!D64</f>
        <v>0</v>
      </c>
      <c r="J61" s="128">
        <f>Bordero!F64</f>
        <v>0</v>
      </c>
      <c r="K61" s="47">
        <f>Bordero!I64</f>
        <v>0</v>
      </c>
      <c r="L61" s="130"/>
      <c r="M61" s="128">
        <f>Bordero!D64</f>
        <v>0</v>
      </c>
      <c r="N61" s="131">
        <f>Bordero!G64</f>
        <v>0</v>
      </c>
    </row>
    <row r="62" spans="1:14" ht="15">
      <c r="A62" s="128">
        <f>Bordero!B65</f>
        <v>0</v>
      </c>
      <c r="B62" s="128">
        <f>Bordero!B66</f>
        <v>0</v>
      </c>
      <c r="C62" s="31"/>
      <c r="D62" s="31"/>
      <c r="E62" s="31"/>
      <c r="F62" s="31"/>
      <c r="G62" s="31"/>
      <c r="H62" s="129">
        <f>Bordero!K65</f>
        <v>0</v>
      </c>
      <c r="I62" s="128">
        <f>Bordero!D65</f>
        <v>0</v>
      </c>
      <c r="J62" s="128">
        <f>Bordero!F65</f>
        <v>0</v>
      </c>
      <c r="K62" s="47">
        <f>Bordero!I65</f>
        <v>0</v>
      </c>
      <c r="L62" s="130"/>
      <c r="M62" s="128">
        <f>Bordero!D65</f>
        <v>0</v>
      </c>
      <c r="N62" s="131">
        <f>Bordero!G65</f>
        <v>0</v>
      </c>
    </row>
    <row r="63" spans="1:14" ht="15">
      <c r="A63" s="128">
        <f>Bordero!B66</f>
        <v>0</v>
      </c>
      <c r="B63" s="128">
        <f>Bordero!B67</f>
        <v>0</v>
      </c>
      <c r="C63" s="31"/>
      <c r="D63" s="31"/>
      <c r="E63" s="31"/>
      <c r="F63" s="31"/>
      <c r="G63" s="31"/>
      <c r="H63" s="129">
        <f>Bordero!K66</f>
        <v>0</v>
      </c>
      <c r="I63" s="128">
        <f>Bordero!D66</f>
        <v>0</v>
      </c>
      <c r="J63" s="128">
        <f>Bordero!F66</f>
        <v>0</v>
      </c>
      <c r="K63" s="47">
        <f>Bordero!I66</f>
        <v>0</v>
      </c>
      <c r="L63" s="130"/>
      <c r="M63" s="128">
        <f>Bordero!D66</f>
        <v>0</v>
      </c>
      <c r="N63" s="131">
        <f>Bordero!G66</f>
        <v>0</v>
      </c>
    </row>
    <row r="64" spans="1:14" ht="15">
      <c r="A64" s="128">
        <f>Bordero!B67</f>
        <v>0</v>
      </c>
      <c r="B64" s="128">
        <f>Bordero!B68</f>
        <v>0</v>
      </c>
      <c r="C64" s="31"/>
      <c r="D64" s="31"/>
      <c r="E64" s="31"/>
      <c r="F64" s="31"/>
      <c r="G64" s="31"/>
      <c r="H64" s="129">
        <f>Bordero!K67</f>
        <v>0</v>
      </c>
      <c r="I64" s="128">
        <f>Bordero!D67</f>
        <v>0</v>
      </c>
      <c r="J64" s="128">
        <f>Bordero!F67</f>
        <v>0</v>
      </c>
      <c r="K64" s="47">
        <f>Bordero!I67</f>
        <v>0</v>
      </c>
      <c r="L64" s="130"/>
      <c r="M64" s="128">
        <f>Bordero!D67</f>
        <v>0</v>
      </c>
      <c r="N64" s="131">
        <f>Bordero!G67</f>
        <v>0</v>
      </c>
    </row>
    <row r="65" spans="1:14" ht="15">
      <c r="A65" s="128">
        <f>Bordero!B68</f>
        <v>0</v>
      </c>
      <c r="B65" s="128">
        <f>Bordero!B69</f>
        <v>0</v>
      </c>
      <c r="C65" s="31"/>
      <c r="D65" s="31"/>
      <c r="E65" s="31"/>
      <c r="F65" s="31"/>
      <c r="G65" s="31"/>
      <c r="H65" s="129">
        <f>Bordero!K68</f>
        <v>0</v>
      </c>
      <c r="I65" s="128">
        <f>Bordero!D68</f>
        <v>0</v>
      </c>
      <c r="J65" s="128">
        <f>Bordero!F68</f>
        <v>0</v>
      </c>
      <c r="K65" s="47">
        <f>Bordero!I68</f>
        <v>0</v>
      </c>
      <c r="L65" s="130"/>
      <c r="M65" s="128">
        <f>Bordero!D68</f>
        <v>0</v>
      </c>
      <c r="N65" s="131">
        <f>Bordero!G68</f>
        <v>0</v>
      </c>
    </row>
    <row r="66" spans="1:14" ht="15">
      <c r="A66" s="128">
        <f>Bordero!B69</f>
        <v>0</v>
      </c>
      <c r="B66" s="128">
        <f>Bordero!B70</f>
        <v>0</v>
      </c>
      <c r="C66" s="31"/>
      <c r="D66" s="31"/>
      <c r="E66" s="31"/>
      <c r="F66" s="31"/>
      <c r="G66" s="31"/>
      <c r="H66" s="129">
        <f>Bordero!K69</f>
        <v>0</v>
      </c>
      <c r="I66" s="128">
        <f>Bordero!D69</f>
        <v>0</v>
      </c>
      <c r="J66" s="128">
        <f>Bordero!F69</f>
        <v>0</v>
      </c>
      <c r="K66" s="47">
        <f>Bordero!I69</f>
        <v>0</v>
      </c>
      <c r="L66" s="130"/>
      <c r="M66" s="128">
        <f>Bordero!D69</f>
        <v>0</v>
      </c>
      <c r="N66" s="131">
        <f>Bordero!G69</f>
        <v>0</v>
      </c>
    </row>
    <row r="67" spans="1:14" ht="15">
      <c r="A67" s="128">
        <f>Bordero!B70</f>
        <v>0</v>
      </c>
      <c r="B67" s="128">
        <f>Bordero!B71</f>
        <v>0</v>
      </c>
      <c r="C67" s="31"/>
      <c r="D67" s="31"/>
      <c r="E67" s="31"/>
      <c r="F67" s="31"/>
      <c r="G67" s="31"/>
      <c r="H67" s="129">
        <f>Bordero!K70</f>
        <v>0</v>
      </c>
      <c r="I67" s="128">
        <f>Bordero!D70</f>
        <v>0</v>
      </c>
      <c r="J67" s="128">
        <f>Bordero!F70</f>
        <v>0</v>
      </c>
      <c r="K67" s="47">
        <f>Bordero!I70</f>
        <v>0</v>
      </c>
      <c r="L67" s="130"/>
      <c r="M67" s="128">
        <f>Bordero!D70</f>
        <v>0</v>
      </c>
      <c r="N67" s="131">
        <f>Bordero!G70</f>
        <v>0</v>
      </c>
    </row>
    <row r="68" spans="1:14" ht="15">
      <c r="A68" s="128">
        <f>Bordero!B71</f>
        <v>0</v>
      </c>
      <c r="B68" s="128">
        <f>Bordero!B72</f>
        <v>0</v>
      </c>
      <c r="C68" s="31"/>
      <c r="D68" s="31"/>
      <c r="E68" s="31"/>
      <c r="F68" s="31"/>
      <c r="G68" s="31"/>
      <c r="H68" s="129">
        <f>Bordero!K71</f>
        <v>0</v>
      </c>
      <c r="I68" s="128">
        <f>Bordero!D71</f>
        <v>0</v>
      </c>
      <c r="J68" s="128">
        <f>Bordero!F71</f>
        <v>0</v>
      </c>
      <c r="K68" s="47">
        <f>Bordero!I71</f>
        <v>0</v>
      </c>
      <c r="L68" s="130"/>
      <c r="M68" s="128">
        <f>Bordero!D71</f>
        <v>0</v>
      </c>
      <c r="N68" s="131">
        <f>Bordero!G71</f>
        <v>0</v>
      </c>
    </row>
    <row r="69" spans="1:14" ht="15">
      <c r="A69" s="128">
        <f>Bordero!B72</f>
        <v>0</v>
      </c>
      <c r="B69" s="128">
        <f>Bordero!B73</f>
        <v>0</v>
      </c>
      <c r="C69" s="31"/>
      <c r="D69" s="31"/>
      <c r="E69" s="31"/>
      <c r="F69" s="31"/>
      <c r="G69" s="31"/>
      <c r="H69" s="129">
        <f>Bordero!K72</f>
        <v>0</v>
      </c>
      <c r="I69" s="128">
        <f>Bordero!D72</f>
        <v>0</v>
      </c>
      <c r="J69" s="128">
        <f>Bordero!F72</f>
        <v>0</v>
      </c>
      <c r="K69" s="47">
        <f>Bordero!I72</f>
        <v>0</v>
      </c>
      <c r="L69" s="130"/>
      <c r="M69" s="128">
        <f>Bordero!D72</f>
        <v>0</v>
      </c>
      <c r="N69" s="131">
        <f>Bordero!G72</f>
        <v>0</v>
      </c>
    </row>
    <row r="70" spans="1:14" ht="15">
      <c r="A70" s="128">
        <f>Bordero!B73</f>
        <v>0</v>
      </c>
      <c r="B70" s="128">
        <f>Bordero!B74</f>
        <v>0</v>
      </c>
      <c r="C70" s="31"/>
      <c r="D70" s="31"/>
      <c r="E70" s="31"/>
      <c r="F70" s="31"/>
      <c r="G70" s="31"/>
      <c r="H70" s="129">
        <f>Bordero!K73</f>
        <v>0</v>
      </c>
      <c r="I70" s="128">
        <f>Bordero!D73</f>
        <v>0</v>
      </c>
      <c r="J70" s="128">
        <f>Bordero!F73</f>
        <v>0</v>
      </c>
      <c r="K70" s="47">
        <f>Bordero!I73</f>
        <v>0</v>
      </c>
      <c r="L70" s="130"/>
      <c r="M70" s="128">
        <f>Bordero!D73</f>
        <v>0</v>
      </c>
      <c r="N70" s="131">
        <f>Bordero!G73</f>
        <v>0</v>
      </c>
    </row>
    <row r="71" spans="1:14" ht="15">
      <c r="A71" s="128">
        <f>Bordero!B74</f>
        <v>0</v>
      </c>
      <c r="B71" s="128">
        <f>Bordero!B75</f>
        <v>0</v>
      </c>
      <c r="C71" s="31"/>
      <c r="D71" s="31"/>
      <c r="E71" s="31"/>
      <c r="F71" s="31"/>
      <c r="G71" s="31"/>
      <c r="H71" s="129">
        <f>Bordero!K74</f>
        <v>0</v>
      </c>
      <c r="I71" s="128">
        <f>Bordero!D74</f>
        <v>0</v>
      </c>
      <c r="J71" s="128">
        <f>Bordero!F74</f>
        <v>0</v>
      </c>
      <c r="K71" s="47">
        <f>Bordero!I74</f>
        <v>0</v>
      </c>
      <c r="L71" s="130"/>
      <c r="M71" s="128">
        <f>Bordero!D74</f>
        <v>0</v>
      </c>
      <c r="N71" s="131">
        <f>Bordero!G74</f>
        <v>0</v>
      </c>
    </row>
    <row r="72" spans="1:14" ht="15">
      <c r="A72" s="128">
        <f>Bordero!B75</f>
        <v>0</v>
      </c>
      <c r="B72" s="128">
        <f>Bordero!B76</f>
        <v>0</v>
      </c>
      <c r="C72" s="31"/>
      <c r="D72" s="31"/>
      <c r="E72" s="31"/>
      <c r="F72" s="31"/>
      <c r="G72" s="31"/>
      <c r="H72" s="129">
        <f>Bordero!K75</f>
        <v>0</v>
      </c>
      <c r="I72" s="128">
        <f>Bordero!D75</f>
        <v>0</v>
      </c>
      <c r="J72" s="128">
        <f>Bordero!F75</f>
        <v>0</v>
      </c>
      <c r="K72" s="47">
        <f>Bordero!I75</f>
        <v>0</v>
      </c>
      <c r="L72" s="130"/>
      <c r="M72" s="128">
        <f>Bordero!D75</f>
        <v>0</v>
      </c>
      <c r="N72" s="131">
        <f>Bordero!G75</f>
        <v>0</v>
      </c>
    </row>
    <row r="73" spans="1:14" ht="15">
      <c r="A73" s="128">
        <f>Bordero!B76</f>
        <v>0</v>
      </c>
      <c r="B73" s="128">
        <f>Bordero!B77</f>
        <v>0</v>
      </c>
      <c r="C73" s="31"/>
      <c r="D73" s="31"/>
      <c r="E73" s="31"/>
      <c r="F73" s="31"/>
      <c r="G73" s="31"/>
      <c r="H73" s="129">
        <f>Bordero!K76</f>
        <v>0</v>
      </c>
      <c r="I73" s="128">
        <f>Bordero!D76</f>
        <v>0</v>
      </c>
      <c r="J73" s="128">
        <f>Bordero!F76</f>
        <v>0</v>
      </c>
      <c r="K73" s="47">
        <f>Bordero!I76</f>
        <v>0</v>
      </c>
      <c r="L73" s="130"/>
      <c r="M73" s="128">
        <f>Bordero!D76</f>
        <v>0</v>
      </c>
      <c r="N73" s="131">
        <f>Bordero!G76</f>
        <v>0</v>
      </c>
    </row>
    <row r="74" spans="1:14" ht="15">
      <c r="A74" s="128">
        <f>Bordero!B77</f>
        <v>0</v>
      </c>
      <c r="B74" s="128">
        <f>Bordero!B78</f>
        <v>0</v>
      </c>
      <c r="C74" s="31"/>
      <c r="D74" s="31"/>
      <c r="E74" s="31"/>
      <c r="F74" s="31"/>
      <c r="G74" s="31"/>
      <c r="H74" s="129">
        <f>Bordero!K77</f>
        <v>0</v>
      </c>
      <c r="I74" s="128">
        <f>Bordero!D77</f>
        <v>0</v>
      </c>
      <c r="J74" s="128">
        <f>Bordero!F77</f>
        <v>0</v>
      </c>
      <c r="K74" s="47">
        <f>Bordero!I77</f>
        <v>0</v>
      </c>
      <c r="L74" s="130"/>
      <c r="M74" s="128">
        <f>Bordero!D77</f>
        <v>0</v>
      </c>
      <c r="N74" s="131">
        <f>Bordero!G77</f>
        <v>0</v>
      </c>
    </row>
    <row r="75" spans="1:14" ht="15">
      <c r="A75" s="128">
        <f>Bordero!B78</f>
        <v>0</v>
      </c>
      <c r="B75" s="128">
        <f>Bordero!B79</f>
        <v>0</v>
      </c>
      <c r="C75" s="31"/>
      <c r="D75" s="31"/>
      <c r="E75" s="31"/>
      <c r="F75" s="31"/>
      <c r="G75" s="31"/>
      <c r="H75" s="129">
        <f>Bordero!K78</f>
        <v>0</v>
      </c>
      <c r="I75" s="128">
        <f>Bordero!D78</f>
        <v>0</v>
      </c>
      <c r="J75" s="128">
        <f>Bordero!F78</f>
        <v>0</v>
      </c>
      <c r="K75" s="47">
        <f>Bordero!I78</f>
        <v>0</v>
      </c>
      <c r="L75" s="130"/>
      <c r="M75" s="128">
        <f>Bordero!D78</f>
        <v>0</v>
      </c>
      <c r="N75" s="131">
        <f>Bordero!G78</f>
        <v>0</v>
      </c>
    </row>
    <row r="76" spans="1:14" ht="15">
      <c r="A76" s="128">
        <f>Bordero!B79</f>
        <v>0</v>
      </c>
      <c r="B76" s="128">
        <f>Bordero!B80</f>
        <v>0</v>
      </c>
      <c r="C76" s="31"/>
      <c r="D76" s="31"/>
      <c r="E76" s="31"/>
      <c r="F76" s="31"/>
      <c r="G76" s="31"/>
      <c r="H76" s="129">
        <f>Bordero!K79</f>
        <v>0</v>
      </c>
      <c r="I76" s="128">
        <f>Bordero!D79</f>
        <v>0</v>
      </c>
      <c r="J76" s="128">
        <f>Bordero!F79</f>
        <v>0</v>
      </c>
      <c r="K76" s="47">
        <f>Bordero!I79</f>
        <v>0</v>
      </c>
      <c r="L76" s="130"/>
      <c r="M76" s="128">
        <f>Bordero!D79</f>
        <v>0</v>
      </c>
      <c r="N76" s="131">
        <f>Bordero!G79</f>
        <v>0</v>
      </c>
    </row>
    <row r="77" spans="1:14" ht="15">
      <c r="A77" s="128">
        <f>Bordero!B80</f>
        <v>0</v>
      </c>
      <c r="B77" s="128">
        <f>Bordero!B81</f>
        <v>0</v>
      </c>
      <c r="C77" s="31"/>
      <c r="D77" s="31"/>
      <c r="E77" s="31"/>
      <c r="F77" s="31"/>
      <c r="G77" s="31"/>
      <c r="H77" s="129">
        <f>Bordero!K80</f>
        <v>0</v>
      </c>
      <c r="I77" s="128">
        <f>Bordero!D80</f>
        <v>0</v>
      </c>
      <c r="J77" s="128">
        <f>Bordero!F80</f>
        <v>0</v>
      </c>
      <c r="K77" s="47">
        <f>Bordero!I80</f>
        <v>0</v>
      </c>
      <c r="L77" s="130"/>
      <c r="M77" s="128">
        <f>Bordero!D80</f>
        <v>0</v>
      </c>
      <c r="N77" s="131">
        <f>Bordero!G80</f>
        <v>0</v>
      </c>
    </row>
    <row r="78" spans="1:14" ht="15">
      <c r="A78" s="128">
        <f>Bordero!B81</f>
        <v>0</v>
      </c>
      <c r="B78" s="128">
        <f>Bordero!B82</f>
        <v>0</v>
      </c>
      <c r="C78" s="31"/>
      <c r="D78" s="31"/>
      <c r="E78" s="31"/>
      <c r="F78" s="31"/>
      <c r="G78" s="31"/>
      <c r="H78" s="129">
        <f>Bordero!K81</f>
        <v>0</v>
      </c>
      <c r="I78" s="128">
        <f>Bordero!D81</f>
        <v>0</v>
      </c>
      <c r="J78" s="128">
        <f>Bordero!F81</f>
        <v>0</v>
      </c>
      <c r="K78" s="47">
        <f>Bordero!I81</f>
        <v>0</v>
      </c>
      <c r="L78" s="130"/>
      <c r="M78" s="128">
        <f>Bordero!D81</f>
        <v>0</v>
      </c>
      <c r="N78" s="131">
        <f>Bordero!G81</f>
        <v>0</v>
      </c>
    </row>
    <row r="79" spans="1:14" ht="15">
      <c r="A79" s="128">
        <f>Bordero!B82</f>
        <v>0</v>
      </c>
      <c r="B79" s="128">
        <f>Bordero!B83</f>
        <v>0</v>
      </c>
      <c r="C79" s="31"/>
      <c r="D79" s="31"/>
      <c r="E79" s="31"/>
      <c r="F79" s="31"/>
      <c r="G79" s="31"/>
      <c r="H79" s="129">
        <f>Bordero!K82</f>
        <v>0</v>
      </c>
      <c r="I79" s="128">
        <f>Bordero!D82</f>
        <v>0</v>
      </c>
      <c r="J79" s="128">
        <f>Bordero!F82</f>
        <v>0</v>
      </c>
      <c r="K79" s="47">
        <f>Bordero!I82</f>
        <v>0</v>
      </c>
      <c r="L79" s="130"/>
      <c r="M79" s="128">
        <f>Bordero!D82</f>
        <v>0</v>
      </c>
      <c r="N79" s="131">
        <f>Bordero!G82</f>
        <v>0</v>
      </c>
    </row>
    <row r="80" spans="1:14" ht="15">
      <c r="A80" s="128">
        <f>Bordero!B83</f>
        <v>0</v>
      </c>
      <c r="B80" s="128">
        <f>Bordero!B84</f>
        <v>0</v>
      </c>
      <c r="C80" s="31"/>
      <c r="D80" s="31"/>
      <c r="E80" s="31"/>
      <c r="F80" s="31"/>
      <c r="G80" s="31"/>
      <c r="H80" s="129">
        <f>Bordero!K83</f>
        <v>0</v>
      </c>
      <c r="I80" s="128">
        <f>Bordero!D83</f>
        <v>0</v>
      </c>
      <c r="J80" s="128">
        <f>Bordero!F83</f>
        <v>0</v>
      </c>
      <c r="K80" s="47">
        <f>Bordero!I83</f>
        <v>0</v>
      </c>
      <c r="L80" s="130"/>
      <c r="M80" s="128">
        <f>Bordero!D83</f>
        <v>0</v>
      </c>
      <c r="N80" s="131">
        <f>Bordero!G83</f>
        <v>0</v>
      </c>
    </row>
    <row r="81" spans="1:14" ht="15">
      <c r="A81" s="128">
        <f>Bordero!B84</f>
        <v>0</v>
      </c>
      <c r="B81" s="128">
        <f>Bordero!B85</f>
        <v>0</v>
      </c>
      <c r="C81" s="31"/>
      <c r="D81" s="31"/>
      <c r="E81" s="31"/>
      <c r="F81" s="31"/>
      <c r="G81" s="31"/>
      <c r="H81" s="129">
        <f>Bordero!K84</f>
        <v>0</v>
      </c>
      <c r="I81" s="128">
        <f>Bordero!D84</f>
        <v>0</v>
      </c>
      <c r="J81" s="128">
        <f>Bordero!F84</f>
        <v>0</v>
      </c>
      <c r="K81" s="47">
        <f>Bordero!I84</f>
        <v>0</v>
      </c>
      <c r="L81" s="130"/>
      <c r="M81" s="128">
        <f>Bordero!D84</f>
        <v>0</v>
      </c>
      <c r="N81" s="131">
        <f>Bordero!G84</f>
        <v>0</v>
      </c>
    </row>
    <row r="82" spans="1:14" ht="15">
      <c r="A82" s="128">
        <f>Bordero!B85</f>
        <v>0</v>
      </c>
      <c r="B82" s="128">
        <f>Bordero!B86</f>
        <v>0</v>
      </c>
      <c r="C82" s="31"/>
      <c r="D82" s="31"/>
      <c r="E82" s="31"/>
      <c r="F82" s="31"/>
      <c r="G82" s="31"/>
      <c r="H82" s="129">
        <f>Bordero!K85</f>
        <v>0</v>
      </c>
      <c r="I82" s="128">
        <f>Bordero!D85</f>
        <v>0</v>
      </c>
      <c r="J82" s="128">
        <f>Bordero!F85</f>
        <v>0</v>
      </c>
      <c r="K82" s="47">
        <f>Bordero!I85</f>
        <v>0</v>
      </c>
      <c r="L82" s="130"/>
      <c r="M82" s="128">
        <f>Bordero!D85</f>
        <v>0</v>
      </c>
      <c r="N82" s="131">
        <f>Bordero!G85</f>
        <v>0</v>
      </c>
    </row>
    <row r="83" spans="1:14" ht="15">
      <c r="A83" s="128">
        <f>Bordero!B86</f>
        <v>0</v>
      </c>
      <c r="B83" s="128">
        <f>Bordero!B87</f>
        <v>0</v>
      </c>
      <c r="C83" s="31"/>
      <c r="D83" s="31"/>
      <c r="E83" s="31"/>
      <c r="F83" s="31"/>
      <c r="G83" s="31"/>
      <c r="H83" s="129">
        <f>Bordero!K86</f>
        <v>0</v>
      </c>
      <c r="I83" s="128">
        <f>Bordero!D86</f>
        <v>0</v>
      </c>
      <c r="J83" s="128">
        <f>Bordero!F86</f>
        <v>0</v>
      </c>
      <c r="K83" s="47">
        <f>Bordero!I86</f>
        <v>0</v>
      </c>
      <c r="L83" s="130"/>
      <c r="M83" s="128">
        <f>Bordero!D86</f>
        <v>0</v>
      </c>
      <c r="N83" s="131">
        <f>Bordero!G86</f>
        <v>0</v>
      </c>
    </row>
    <row r="84" spans="1:14" ht="15">
      <c r="A84" s="128">
        <f>Bordero!B87</f>
        <v>0</v>
      </c>
      <c r="B84" s="128">
        <f>Bordero!B88</f>
        <v>0</v>
      </c>
      <c r="C84" s="31"/>
      <c r="D84" s="31"/>
      <c r="E84" s="31"/>
      <c r="F84" s="31"/>
      <c r="G84" s="31"/>
      <c r="H84" s="129">
        <f>Bordero!K87</f>
        <v>0</v>
      </c>
      <c r="I84" s="128">
        <f>Bordero!D87</f>
        <v>0</v>
      </c>
      <c r="J84" s="128">
        <f>Bordero!F87</f>
        <v>0</v>
      </c>
      <c r="K84" s="47">
        <f>Bordero!I87</f>
        <v>0</v>
      </c>
      <c r="L84" s="130"/>
      <c r="M84" s="128">
        <f>Bordero!D87</f>
        <v>0</v>
      </c>
      <c r="N84" s="131">
        <f>Bordero!G87</f>
        <v>0</v>
      </c>
    </row>
    <row r="85" spans="1:14" ht="15">
      <c r="A85" s="128">
        <f>Bordero!B88</f>
        <v>0</v>
      </c>
      <c r="B85" s="128">
        <f>Bordero!B89</f>
        <v>0</v>
      </c>
      <c r="C85" s="31"/>
      <c r="D85" s="31"/>
      <c r="E85" s="31"/>
      <c r="F85" s="31"/>
      <c r="G85" s="31"/>
      <c r="H85" s="129">
        <f>Bordero!K88</f>
        <v>0</v>
      </c>
      <c r="I85" s="128">
        <f>Bordero!D88</f>
        <v>0</v>
      </c>
      <c r="J85" s="128">
        <f>Bordero!F88</f>
        <v>0</v>
      </c>
      <c r="K85" s="47">
        <f>Bordero!I88</f>
        <v>0</v>
      </c>
      <c r="L85" s="130"/>
      <c r="M85" s="128">
        <f>Bordero!D88</f>
        <v>0</v>
      </c>
      <c r="N85" s="131">
        <f>Bordero!G88</f>
        <v>0</v>
      </c>
    </row>
    <row r="86" spans="1:14" ht="15">
      <c r="A86" s="128">
        <f>Bordero!B89</f>
        <v>0</v>
      </c>
      <c r="B86" s="128">
        <f>Bordero!B90</f>
        <v>0</v>
      </c>
      <c r="C86" s="31"/>
      <c r="D86" s="31"/>
      <c r="E86" s="31"/>
      <c r="F86" s="31"/>
      <c r="G86" s="31"/>
      <c r="H86" s="129">
        <f>Bordero!K89</f>
        <v>0</v>
      </c>
      <c r="I86" s="128">
        <f>Bordero!D89</f>
        <v>0</v>
      </c>
      <c r="J86" s="128">
        <f>Bordero!F89</f>
        <v>0</v>
      </c>
      <c r="K86" s="47">
        <f>Bordero!I89</f>
        <v>0</v>
      </c>
      <c r="L86" s="130"/>
      <c r="M86" s="128">
        <f>Bordero!D89</f>
        <v>0</v>
      </c>
      <c r="N86" s="131">
        <f>Bordero!G89</f>
        <v>0</v>
      </c>
    </row>
    <row r="87" spans="1:14" ht="15">
      <c r="A87" s="128">
        <f>Bordero!B90</f>
        <v>0</v>
      </c>
      <c r="B87" s="128">
        <f>Bordero!B91</f>
        <v>0</v>
      </c>
      <c r="C87" s="31"/>
      <c r="D87" s="31"/>
      <c r="E87" s="31"/>
      <c r="F87" s="31"/>
      <c r="G87" s="31"/>
      <c r="H87" s="129">
        <f>Bordero!K90</f>
        <v>0</v>
      </c>
      <c r="I87" s="128">
        <f>Bordero!D90</f>
        <v>0</v>
      </c>
      <c r="J87" s="128">
        <f>Bordero!F90</f>
        <v>0</v>
      </c>
      <c r="K87" s="47">
        <f>Bordero!I90</f>
        <v>0</v>
      </c>
      <c r="L87" s="130"/>
      <c r="M87" s="128">
        <f>Bordero!D90</f>
        <v>0</v>
      </c>
      <c r="N87" s="131">
        <f>Bordero!G90</f>
        <v>0</v>
      </c>
    </row>
    <row r="88" spans="1:14" ht="15">
      <c r="A88" s="128">
        <f>Bordero!B91</f>
        <v>0</v>
      </c>
      <c r="B88" s="128">
        <f>Bordero!B92</f>
        <v>0</v>
      </c>
      <c r="C88" s="31"/>
      <c r="D88" s="31"/>
      <c r="E88" s="31"/>
      <c r="F88" s="31"/>
      <c r="G88" s="31"/>
      <c r="H88" s="129">
        <f>Bordero!K91</f>
        <v>0</v>
      </c>
      <c r="I88" s="128">
        <f>Bordero!D91</f>
        <v>0</v>
      </c>
      <c r="J88" s="128">
        <f>Bordero!F91</f>
        <v>0</v>
      </c>
      <c r="K88" s="47">
        <f>Bordero!I91</f>
        <v>0</v>
      </c>
      <c r="L88" s="130"/>
      <c r="M88" s="128">
        <f>Bordero!D91</f>
        <v>0</v>
      </c>
      <c r="N88" s="131">
        <f>Bordero!G91</f>
        <v>0</v>
      </c>
    </row>
    <row r="89" spans="1:14" ht="15">
      <c r="A89" s="128">
        <f>Bordero!B92</f>
        <v>0</v>
      </c>
      <c r="B89" s="128">
        <f>Bordero!B93</f>
        <v>0</v>
      </c>
      <c r="C89" s="31"/>
      <c r="D89" s="31"/>
      <c r="E89" s="31"/>
      <c r="F89" s="31"/>
      <c r="G89" s="31"/>
      <c r="H89" s="129">
        <f>Bordero!K92</f>
        <v>0</v>
      </c>
      <c r="I89" s="128">
        <f>Bordero!D92</f>
        <v>0</v>
      </c>
      <c r="J89" s="128">
        <f>Bordero!F92</f>
        <v>0</v>
      </c>
      <c r="K89" s="47">
        <f>Bordero!I92</f>
        <v>0</v>
      </c>
      <c r="L89" s="130"/>
      <c r="M89" s="128">
        <f>Bordero!D92</f>
        <v>0</v>
      </c>
      <c r="N89" s="131">
        <f>Bordero!G92</f>
        <v>0</v>
      </c>
    </row>
    <row r="90" spans="1:14" ht="15">
      <c r="A90" s="128">
        <f>Bordero!B93</f>
        <v>0</v>
      </c>
      <c r="B90" s="128">
        <f>Bordero!B94</f>
        <v>0</v>
      </c>
      <c r="C90" s="31"/>
      <c r="D90" s="31"/>
      <c r="E90" s="31"/>
      <c r="F90" s="31"/>
      <c r="G90" s="31"/>
      <c r="H90" s="129">
        <f>Bordero!K93</f>
        <v>0</v>
      </c>
      <c r="I90" s="128">
        <f>Bordero!D93</f>
        <v>0</v>
      </c>
      <c r="J90" s="128">
        <f>Bordero!F93</f>
        <v>0</v>
      </c>
      <c r="K90" s="47">
        <f>Bordero!I93</f>
        <v>0</v>
      </c>
      <c r="L90" s="130"/>
      <c r="M90" s="128">
        <f>Bordero!D93</f>
        <v>0</v>
      </c>
      <c r="N90" s="131">
        <f>Bordero!G93</f>
        <v>0</v>
      </c>
    </row>
    <row r="91" spans="1:14" ht="15">
      <c r="A91" s="128">
        <f>Bordero!B94</f>
        <v>0</v>
      </c>
      <c r="B91" s="128">
        <f>Bordero!B95</f>
        <v>0</v>
      </c>
      <c r="C91" s="31"/>
      <c r="D91" s="31"/>
      <c r="E91" s="31"/>
      <c r="F91" s="31"/>
      <c r="G91" s="31"/>
      <c r="H91" s="129">
        <f>Bordero!K94</f>
        <v>0</v>
      </c>
      <c r="I91" s="128">
        <f>Bordero!D94</f>
        <v>0</v>
      </c>
      <c r="J91" s="128">
        <f>Bordero!F94</f>
        <v>0</v>
      </c>
      <c r="K91" s="47">
        <f>Bordero!I94</f>
        <v>0</v>
      </c>
      <c r="L91" s="130"/>
      <c r="M91" s="128">
        <f>Bordero!D94</f>
        <v>0</v>
      </c>
      <c r="N91" s="131">
        <f>Bordero!G94</f>
        <v>0</v>
      </c>
    </row>
    <row r="92" spans="1:14" ht="15">
      <c r="A92" s="128">
        <f>Bordero!B95</f>
        <v>0</v>
      </c>
      <c r="B92" s="128">
        <f>Bordero!B96</f>
        <v>0</v>
      </c>
      <c r="C92" s="31"/>
      <c r="D92" s="31"/>
      <c r="E92" s="31"/>
      <c r="F92" s="31"/>
      <c r="G92" s="31"/>
      <c r="H92" s="129">
        <f>Bordero!K95</f>
        <v>0</v>
      </c>
      <c r="I92" s="128">
        <f>Bordero!D95</f>
        <v>0</v>
      </c>
      <c r="J92" s="128">
        <f>Bordero!F95</f>
        <v>0</v>
      </c>
      <c r="K92" s="47">
        <f>Bordero!I95</f>
        <v>0</v>
      </c>
      <c r="L92" s="130"/>
      <c r="M92" s="128">
        <f>Bordero!D95</f>
        <v>0</v>
      </c>
      <c r="N92" s="131">
        <f>Bordero!G95</f>
        <v>0</v>
      </c>
    </row>
    <row r="93" spans="1:14" ht="15">
      <c r="A93" s="128">
        <f>Bordero!B96</f>
        <v>0</v>
      </c>
      <c r="B93" s="128">
        <f>Bordero!B97</f>
        <v>0</v>
      </c>
      <c r="C93" s="31"/>
      <c r="D93" s="31"/>
      <c r="E93" s="31"/>
      <c r="F93" s="31"/>
      <c r="G93" s="31"/>
      <c r="H93" s="129">
        <f>Bordero!K96</f>
        <v>0</v>
      </c>
      <c r="I93" s="128">
        <f>Bordero!D96</f>
        <v>0</v>
      </c>
      <c r="J93" s="128">
        <f>Bordero!F96</f>
        <v>0</v>
      </c>
      <c r="K93" s="47">
        <f>Bordero!I96</f>
        <v>0</v>
      </c>
      <c r="L93" s="130"/>
      <c r="M93" s="128">
        <f>Bordero!D96</f>
        <v>0</v>
      </c>
      <c r="N93" s="131">
        <f>Bordero!G96</f>
        <v>0</v>
      </c>
    </row>
    <row r="94" spans="1:14" ht="15">
      <c r="A94" s="128">
        <f>Bordero!B97</f>
        <v>0</v>
      </c>
      <c r="B94" s="128">
        <f>Bordero!B98</f>
        <v>0</v>
      </c>
      <c r="C94" s="31"/>
      <c r="D94" s="31"/>
      <c r="E94" s="31"/>
      <c r="F94" s="31"/>
      <c r="G94" s="31"/>
      <c r="H94" s="129">
        <f>Bordero!K97</f>
        <v>0</v>
      </c>
      <c r="I94" s="128">
        <f>Bordero!D97</f>
        <v>0</v>
      </c>
      <c r="J94" s="128">
        <f>Bordero!F97</f>
        <v>0</v>
      </c>
      <c r="K94" s="47">
        <f>Bordero!I97</f>
        <v>0</v>
      </c>
      <c r="L94" s="130"/>
      <c r="M94" s="128">
        <f>Bordero!D97</f>
        <v>0</v>
      </c>
      <c r="N94" s="131">
        <f>Bordero!G97</f>
        <v>0</v>
      </c>
    </row>
    <row r="95" spans="1:14" ht="15">
      <c r="A95" s="128">
        <f>Bordero!B98</f>
        <v>0</v>
      </c>
      <c r="B95" s="128">
        <f>Bordero!B99</f>
        <v>0</v>
      </c>
      <c r="C95" s="31"/>
      <c r="D95" s="31"/>
      <c r="E95" s="31"/>
      <c r="F95" s="31"/>
      <c r="G95" s="31"/>
      <c r="H95" s="129">
        <f>Bordero!K98</f>
        <v>0</v>
      </c>
      <c r="I95" s="128">
        <f>Bordero!D98</f>
        <v>0</v>
      </c>
      <c r="J95" s="128">
        <f>Bordero!F98</f>
        <v>0</v>
      </c>
      <c r="K95" s="47">
        <f>Bordero!I98</f>
        <v>0</v>
      </c>
      <c r="L95" s="130"/>
      <c r="M95" s="128">
        <f>Bordero!D98</f>
        <v>0</v>
      </c>
      <c r="N95" s="131">
        <f>Bordero!G98</f>
        <v>0</v>
      </c>
    </row>
    <row r="96" spans="1:14" ht="15">
      <c r="A96" s="128">
        <f>Bordero!B99</f>
        <v>0</v>
      </c>
      <c r="B96" s="128">
        <f>Bordero!B100</f>
        <v>0</v>
      </c>
      <c r="C96" s="31"/>
      <c r="D96" s="31"/>
      <c r="E96" s="31"/>
      <c r="F96" s="31"/>
      <c r="G96" s="31"/>
      <c r="H96" s="129">
        <f>Bordero!K99</f>
        <v>0</v>
      </c>
      <c r="I96" s="128">
        <f>Bordero!D99</f>
        <v>0</v>
      </c>
      <c r="J96" s="128">
        <f>Bordero!F99</f>
        <v>0</v>
      </c>
      <c r="K96" s="47">
        <f>Bordero!I99</f>
        <v>0</v>
      </c>
      <c r="L96" s="130"/>
      <c r="M96" s="128">
        <f>Bordero!D99</f>
        <v>0</v>
      </c>
      <c r="N96" s="131">
        <f>Bordero!G99</f>
        <v>0</v>
      </c>
    </row>
    <row r="97" spans="1:14" ht="15">
      <c r="A97" s="128">
        <f>Bordero!B100</f>
        <v>0</v>
      </c>
      <c r="B97" s="128">
        <f>Bordero!B101</f>
        <v>0</v>
      </c>
      <c r="C97" s="31"/>
      <c r="D97" s="31"/>
      <c r="E97" s="31"/>
      <c r="F97" s="31"/>
      <c r="G97" s="31"/>
      <c r="H97" s="129">
        <f>Bordero!K100</f>
        <v>0</v>
      </c>
      <c r="I97" s="128">
        <f>Bordero!D100</f>
        <v>0</v>
      </c>
      <c r="J97" s="128">
        <f>Bordero!F100</f>
        <v>0</v>
      </c>
      <c r="K97" s="47">
        <f>Bordero!I100</f>
        <v>0</v>
      </c>
      <c r="L97" s="130"/>
      <c r="M97" s="128">
        <f>Bordero!D100</f>
        <v>0</v>
      </c>
      <c r="N97" s="131">
        <f>Bordero!G100</f>
        <v>0</v>
      </c>
    </row>
    <row r="98" spans="1:14" ht="15">
      <c r="A98" s="128">
        <f>Bordero!B101</f>
        <v>0</v>
      </c>
      <c r="B98" s="128">
        <f>Bordero!B102</f>
        <v>0</v>
      </c>
      <c r="C98" s="31"/>
      <c r="D98" s="31"/>
      <c r="E98" s="31"/>
      <c r="F98" s="31"/>
      <c r="G98" s="31"/>
      <c r="H98" s="129">
        <f>Bordero!K101</f>
        <v>0</v>
      </c>
      <c r="I98" s="128">
        <f>Bordero!D101</f>
        <v>0</v>
      </c>
      <c r="J98" s="128">
        <f>Bordero!F101</f>
        <v>0</v>
      </c>
      <c r="K98" s="47">
        <f>Bordero!I101</f>
        <v>0</v>
      </c>
      <c r="L98" s="130"/>
      <c r="M98" s="128">
        <f>Bordero!D101</f>
        <v>0</v>
      </c>
      <c r="N98" s="131">
        <f>Bordero!G101</f>
        <v>0</v>
      </c>
    </row>
    <row r="99" spans="1:14" ht="15">
      <c r="A99" s="128">
        <f>Bordero!B102</f>
        <v>0</v>
      </c>
      <c r="B99" s="128">
        <f>Bordero!B103</f>
        <v>0</v>
      </c>
      <c r="C99" s="31"/>
      <c r="D99" s="31"/>
      <c r="E99" s="31"/>
      <c r="F99" s="31"/>
      <c r="G99" s="31"/>
      <c r="H99" s="129">
        <f>Bordero!K102</f>
        <v>0</v>
      </c>
      <c r="I99" s="128">
        <f>Bordero!D102</f>
        <v>0</v>
      </c>
      <c r="J99" s="128">
        <f>Bordero!F102</f>
        <v>0</v>
      </c>
      <c r="K99" s="47">
        <f>Bordero!I102</f>
        <v>0</v>
      </c>
      <c r="L99" s="130"/>
      <c r="M99" s="128">
        <f>Bordero!D102</f>
        <v>0</v>
      </c>
      <c r="N99" s="131">
        <f>Bordero!G102</f>
        <v>0</v>
      </c>
    </row>
    <row r="100" spans="1:14" ht="15">
      <c r="A100" s="128">
        <f>Bordero!B103</f>
        <v>0</v>
      </c>
      <c r="B100" s="128">
        <f>Bordero!B104</f>
        <v>0</v>
      </c>
      <c r="C100" s="31"/>
      <c r="D100" s="31"/>
      <c r="E100" s="31"/>
      <c r="F100" s="31"/>
      <c r="G100" s="31"/>
      <c r="H100" s="129">
        <f>Bordero!K103</f>
        <v>0</v>
      </c>
      <c r="I100" s="128">
        <f>Bordero!D103</f>
        <v>0</v>
      </c>
      <c r="J100" s="128">
        <f>Bordero!F103</f>
        <v>0</v>
      </c>
      <c r="K100" s="47">
        <f>Bordero!I103</f>
        <v>0</v>
      </c>
      <c r="L100" s="130"/>
      <c r="M100" s="128">
        <f>Bordero!D103</f>
        <v>0</v>
      </c>
      <c r="N100" s="131">
        <f>Bordero!G103</f>
        <v>0</v>
      </c>
    </row>
    <row r="101" spans="1:14" ht="15">
      <c r="A101" s="128">
        <f>Bordero!B104</f>
        <v>0</v>
      </c>
      <c r="B101" s="128">
        <f>Bordero!B105</f>
        <v>0</v>
      </c>
      <c r="C101" s="31"/>
      <c r="D101" s="31"/>
      <c r="E101" s="31"/>
      <c r="F101" s="31"/>
      <c r="G101" s="31"/>
      <c r="H101" s="129">
        <f>Bordero!K104</f>
        <v>0</v>
      </c>
      <c r="I101" s="128">
        <f>Bordero!D104</f>
        <v>0</v>
      </c>
      <c r="J101" s="128">
        <f>Bordero!F104</f>
        <v>0</v>
      </c>
      <c r="K101" s="47">
        <f>Bordero!I104</f>
        <v>0</v>
      </c>
      <c r="L101" s="130"/>
      <c r="M101" s="128">
        <f>Bordero!D104</f>
        <v>0</v>
      </c>
      <c r="N101" s="131">
        <f>Bordero!G104</f>
        <v>0</v>
      </c>
    </row>
    <row r="102" spans="1:14" ht="15">
      <c r="A102" s="128">
        <f>Bordero!B105</f>
        <v>0</v>
      </c>
      <c r="B102" s="128">
        <f>Bordero!B106</f>
        <v>0</v>
      </c>
      <c r="C102" s="31"/>
      <c r="D102" s="31"/>
      <c r="E102" s="31"/>
      <c r="F102" s="31"/>
      <c r="G102" s="31"/>
      <c r="H102" s="129">
        <f>Bordero!K105</f>
        <v>0</v>
      </c>
      <c r="I102" s="128">
        <f>Bordero!D105</f>
        <v>0</v>
      </c>
      <c r="J102" s="128">
        <f>Bordero!F105</f>
        <v>0</v>
      </c>
      <c r="K102" s="47">
        <f>Bordero!I105</f>
        <v>0</v>
      </c>
      <c r="L102" s="130"/>
      <c r="M102" s="128">
        <f>Bordero!D105</f>
        <v>0</v>
      </c>
      <c r="N102" s="131">
        <f>Bordero!G105</f>
        <v>0</v>
      </c>
    </row>
    <row r="103" spans="1:14" ht="15">
      <c r="A103" s="128">
        <f>Bordero!B106</f>
        <v>0</v>
      </c>
      <c r="B103" s="128">
        <f>Bordero!B107</f>
        <v>0</v>
      </c>
      <c r="C103" s="31"/>
      <c r="D103" s="31"/>
      <c r="E103" s="31"/>
      <c r="F103" s="31"/>
      <c r="G103" s="31"/>
      <c r="H103" s="129">
        <f>Bordero!K106</f>
        <v>0</v>
      </c>
      <c r="I103" s="128">
        <f>Bordero!D106</f>
        <v>0</v>
      </c>
      <c r="J103" s="128">
        <f>Bordero!F106</f>
        <v>0</v>
      </c>
      <c r="K103" s="47">
        <f>Bordero!I106</f>
        <v>0</v>
      </c>
      <c r="L103" s="130"/>
      <c r="M103" s="128">
        <f>Bordero!D106</f>
        <v>0</v>
      </c>
      <c r="N103" s="131">
        <f>Bordero!G106</f>
        <v>0</v>
      </c>
    </row>
    <row r="104" spans="1:14" ht="15">
      <c r="A104" s="128">
        <f>Bordero!B107</f>
        <v>0</v>
      </c>
      <c r="B104" s="128">
        <f>Bordero!B108</f>
        <v>0</v>
      </c>
      <c r="C104" s="31"/>
      <c r="D104" s="31"/>
      <c r="E104" s="31"/>
      <c r="F104" s="31"/>
      <c r="G104" s="31"/>
      <c r="H104" s="129">
        <f>Bordero!K107</f>
        <v>0</v>
      </c>
      <c r="I104" s="128">
        <f>Bordero!D107</f>
        <v>0</v>
      </c>
      <c r="J104" s="128">
        <f>Bordero!F107</f>
        <v>0</v>
      </c>
      <c r="K104" s="47">
        <f>Bordero!I107</f>
        <v>0</v>
      </c>
      <c r="L104" s="130"/>
      <c r="M104" s="128">
        <f>Bordero!D107</f>
        <v>0</v>
      </c>
      <c r="N104" s="131">
        <f>Bordero!G107</f>
        <v>0</v>
      </c>
    </row>
    <row r="105" spans="1:14" ht="15">
      <c r="A105" s="128">
        <f>Bordero!B108</f>
        <v>0</v>
      </c>
      <c r="B105" s="128">
        <f>Bordero!B109</f>
        <v>0</v>
      </c>
      <c r="C105" s="31"/>
      <c r="D105" s="31"/>
      <c r="E105" s="31"/>
      <c r="F105" s="31"/>
      <c r="G105" s="31"/>
      <c r="H105" s="129">
        <f>Bordero!K108</f>
        <v>0</v>
      </c>
      <c r="I105" s="128">
        <f>Bordero!D108</f>
        <v>0</v>
      </c>
      <c r="J105" s="128">
        <f>Bordero!F108</f>
        <v>0</v>
      </c>
      <c r="K105" s="47">
        <f>Bordero!I108</f>
        <v>0</v>
      </c>
      <c r="L105" s="130"/>
      <c r="M105" s="128">
        <f>Bordero!D108</f>
        <v>0</v>
      </c>
      <c r="N105" s="131">
        <f>Bordero!G108</f>
        <v>0</v>
      </c>
    </row>
  </sheetData>
  <mergeCells count="4">
    <mergeCell ref="A1:M1"/>
    <mergeCell ref="B2:M2"/>
    <mergeCell ref="B3:M3"/>
    <mergeCell ref="B4:M4"/>
  </mergeCells>
  <phoneticPr fontId="25" type="noConversion"/>
  <conditionalFormatting sqref="I6:I105">
    <cfRule type="duplicateValues" dxfId="3" priority="15" stopIfTrue="1"/>
    <cfRule type="duplicateValues" dxfId="2" priority="16" stopIfTrue="1"/>
  </conditionalFormatting>
  <conditionalFormatting sqref="M6:M105">
    <cfRule type="duplicateValues" dxfId="1" priority="17" stopIfTrue="1"/>
    <cfRule type="duplicateValues" dxfId="0" priority="18" stopIfTrue="1"/>
  </conditionalFormatting>
  <hyperlinks>
    <hyperlink ref="N6" r:id="rId1" display="lucio.couto@c4capital.com.br" xr:uid="{197D1D64-D22D-4458-911E-5B10A845A288}"/>
    <hyperlink ref="N7" r:id="rId2" display="lucio.couto@c4capital.com.br" xr:uid="{18CAECF8-405D-44EA-B935-1967BB5C9589}"/>
    <hyperlink ref="N8" r:id="rId3" display="lucio.couto@c4capital.com.br" xr:uid="{32E91238-F475-40B1-A042-3DFA4388CF71}"/>
    <hyperlink ref="N9" r:id="rId4" display="lucio.couto@c4capital.com.br" xr:uid="{C0D27194-970B-46D9-AD3C-872472710850}"/>
    <hyperlink ref="N10" r:id="rId5" display="lucio.couto@c4capital.com.br" xr:uid="{52CB6015-396A-4569-9B9F-E72DD4DF0CC6}"/>
    <hyperlink ref="N11" r:id="rId6" display="lucio.couto@c4capital.com.br" xr:uid="{1D01992D-F1C2-4A9F-8AC7-4D0B54C03090}"/>
    <hyperlink ref="N12" r:id="rId7" display="lucio.couto@c4capital.com.br" xr:uid="{7A88AD67-1E0C-4766-A2B0-F1D1DF8B936C}"/>
    <hyperlink ref="N13" r:id="rId8" display="lucio.couto@c4capital.com.br" xr:uid="{F36BB6D4-8A88-4CEF-878E-E6EF9559B791}"/>
    <hyperlink ref="N14" r:id="rId9" display="lucio.couto@c4capital.com.br" xr:uid="{4105ABE3-97AB-4A3B-B0B6-32CDF8F20B05}"/>
    <hyperlink ref="N15" r:id="rId10" display="lucio.couto@c4capital.com.br" xr:uid="{D35A75A0-31F7-4D8C-9D34-BCA8C0FC2A90}"/>
    <hyperlink ref="N16" r:id="rId11" display="lucio.couto@c4capital.com.br" xr:uid="{FEDB9D30-11F8-48F1-961B-6965EC85EBE1}"/>
    <hyperlink ref="N17" r:id="rId12" display="lucio.couto@c4capital.com.br" xr:uid="{706F630E-70C5-432F-817A-891756EB90A9}"/>
    <hyperlink ref="N18" r:id="rId13" display="lucio.couto@c4capital.com.br" xr:uid="{D7BD2C4A-69EC-4C2D-949F-7E2AE028E4FD}"/>
    <hyperlink ref="N19" r:id="rId14" display="lucio.couto@c4capital.com.br" xr:uid="{13CF48E2-E324-48F9-BB72-D0D7E4941E6F}"/>
    <hyperlink ref="N20" r:id="rId15" display="lucio.couto@c4capital.com.br" xr:uid="{7BAFEEAF-E963-486F-8A01-B5A29C388DED}"/>
    <hyperlink ref="N21" r:id="rId16" display="lucio.couto@c4capital.com.br" xr:uid="{E59ECBD0-5F05-4314-B055-6F71F349ABA2}"/>
    <hyperlink ref="N22" r:id="rId17" display="lucio.couto@c4capital.com.br" xr:uid="{ACB24E3A-3012-44DD-98AC-0ACCC13D920A}"/>
    <hyperlink ref="N23" r:id="rId18" display="lucio.couto@c4capital.com.br" xr:uid="{2118FC50-84F6-4E81-B96D-F4F2D7155983}"/>
    <hyperlink ref="N24" r:id="rId19" display="lucio.couto@c4capital.com.br" xr:uid="{39658786-D0F6-4555-B3D1-E0F63925AFE8}"/>
    <hyperlink ref="N25" r:id="rId20" display="lucio.couto@c4capital.com.br" xr:uid="{0C224481-FA66-44B0-A15E-42A344155167}"/>
    <hyperlink ref="N26" r:id="rId21" display="lucio.couto@c4capital.com.br" xr:uid="{83C4E899-1F57-4677-BB7A-2E373F03AEDE}"/>
    <hyperlink ref="N27" r:id="rId22" display="lucio.couto@c4capital.com.br" xr:uid="{A58E2481-2805-4ED7-8955-D76A3ED7ED4F}"/>
    <hyperlink ref="N28" r:id="rId23" display="lucio.couto@c4capital.com.br" xr:uid="{73A9F3D1-5254-448E-88C8-C9E33DAC2B14}"/>
    <hyperlink ref="N29" r:id="rId24" display="lucio.couto@c4capital.com.br" xr:uid="{BB826D45-02E7-4372-8EB4-43193A5AC1E5}"/>
    <hyperlink ref="N30" r:id="rId25" display="lucio.couto@c4capital.com.br" xr:uid="{B3A37900-7362-4514-9335-2B8113835961}"/>
    <hyperlink ref="N31" r:id="rId26" display="lucio.couto@c4capital.com.br" xr:uid="{CCEBE3A0-D029-44EA-8853-D409F6C13E88}"/>
    <hyperlink ref="N32" r:id="rId27" display="lucio.couto@c4capital.com.br" xr:uid="{ED98B431-4FE7-4435-801A-16DD40D2A591}"/>
    <hyperlink ref="N33" r:id="rId28" display="lucio.couto@c4capital.com.br" xr:uid="{5225741F-BB07-4383-B9DA-2413DD515D3C}"/>
    <hyperlink ref="N34" r:id="rId29" display="lucio.couto@c4capital.com.br" xr:uid="{8799C5CB-B723-41B9-9AB6-2DCCC5427276}"/>
    <hyperlink ref="N35" r:id="rId30" display="lucio.couto@c4capital.com.br" xr:uid="{4A1D1AC1-44E5-49F8-9059-79C8BE030AB8}"/>
    <hyperlink ref="N36" r:id="rId31" display="lucio.couto@c4capital.com.br" xr:uid="{9172316F-D78C-4154-9604-257D2AE1ED09}"/>
    <hyperlink ref="N37" r:id="rId32" display="lucio.couto@c4capital.com.br" xr:uid="{CE8AD265-6104-4936-A551-81DE5205A5D7}"/>
    <hyperlink ref="N38" r:id="rId33" display="lucio.couto@c4capital.com.br" xr:uid="{0BD76894-7793-4DBA-8F14-726360267B2F}"/>
    <hyperlink ref="N39" r:id="rId34" display="lucio.couto@c4capital.com.br" xr:uid="{ED068769-B851-4580-8687-9537A5281086}"/>
    <hyperlink ref="N40" r:id="rId35" display="lucio.couto@c4capital.com.br" xr:uid="{865BCAF5-A4F3-4C20-9F22-3669D13574A6}"/>
    <hyperlink ref="N41" r:id="rId36" display="lucio.couto@c4capital.com.br" xr:uid="{67F10468-3118-4FF1-8173-063B0462CE0C}"/>
    <hyperlink ref="N42" r:id="rId37" display="lucio.couto@c4capital.com.br" xr:uid="{9F43A28C-257E-4FE0-B3E7-04F162816EA6}"/>
    <hyperlink ref="N43" r:id="rId38" display="lucio.couto@c4capital.com.br" xr:uid="{03E344AD-9F77-42BE-9C66-D7B25C661A34}"/>
    <hyperlink ref="N44" r:id="rId39" display="lucio.couto@c4capital.com.br" xr:uid="{33E3F1D2-8B45-4365-B745-E37E0A26D48D}"/>
    <hyperlink ref="N45" r:id="rId40" display="lucio.couto@c4capital.com.br" xr:uid="{E6B099F7-0EAF-4CB8-BE90-579024B34A9B}"/>
    <hyperlink ref="N46" r:id="rId41" display="lucio.couto@c4capital.com.br" xr:uid="{BBB955AC-5993-4FDB-B1BD-D3C8550EBEC6}"/>
    <hyperlink ref="N47" r:id="rId42" display="lucio.couto@c4capital.com.br" xr:uid="{4BAB4CF7-E8AB-4561-B71B-00FBE14AA899}"/>
    <hyperlink ref="N48" r:id="rId43" display="lucio.couto@c4capital.com.br" xr:uid="{0281E015-15E6-429F-9D76-192CF65DCD81}"/>
    <hyperlink ref="N49" r:id="rId44" display="lucio.couto@c4capital.com.br" xr:uid="{9081CBD0-3EB8-4B87-B2FB-AAC171B718A0}"/>
    <hyperlink ref="N50" r:id="rId45" display="lucio.couto@c4capital.com.br" xr:uid="{20D557ED-CBDF-40C0-AB00-44056B60B524}"/>
    <hyperlink ref="N51" r:id="rId46" display="lucio.couto@c4capital.com.br" xr:uid="{D5EF199E-1E70-42FC-A3C7-BA73EBF1ECCC}"/>
    <hyperlink ref="N52" r:id="rId47" display="lucio.couto@c4capital.com.br" xr:uid="{B234311E-4A7C-4B34-9F2F-9668C181D5F2}"/>
    <hyperlink ref="N53" r:id="rId48" display="lucio.couto@c4capital.com.br" xr:uid="{DDB313B2-1025-45C6-9246-AAB36A00445F}"/>
    <hyperlink ref="N54" r:id="rId49" display="lucio.couto@c4capital.com.br" xr:uid="{7BC6F771-0AC3-488E-B719-816559E6FADE}"/>
    <hyperlink ref="N55" r:id="rId50" display="lucio.couto@c4capital.com.br" xr:uid="{7B206C36-85A7-4F43-89A4-B2775F077EB8}"/>
    <hyperlink ref="N56" r:id="rId51" display="lucio.couto@c4capital.com.br" xr:uid="{3A6418D1-FAD4-4571-87F7-C51F5E0F4927}"/>
    <hyperlink ref="N57" r:id="rId52" display="lucio.couto@c4capital.com.br" xr:uid="{C7B04658-A88C-4BEA-95C9-04C9EFDC8EC3}"/>
    <hyperlink ref="N58" r:id="rId53" display="lucio.couto@c4capital.com.br" xr:uid="{F116F42A-4EAA-479A-934F-2F39E2E4C34B}"/>
    <hyperlink ref="N59" r:id="rId54" display="lucio.couto@c4capital.com.br" xr:uid="{D2710F93-A243-4401-9A0B-9EEAC66C2053}"/>
    <hyperlink ref="N60" r:id="rId55" display="lucio.couto@c4capital.com.br" xr:uid="{2B9C9F45-1FE4-405E-93EE-3C6C57872D2F}"/>
    <hyperlink ref="N61" r:id="rId56" display="lucio.couto@c4capital.com.br" xr:uid="{F35C28CC-ABD5-456D-A259-1BD36FF53B56}"/>
    <hyperlink ref="N62" r:id="rId57" display="lucio.couto@c4capital.com.br" xr:uid="{20772845-F2F9-4B9E-8835-170D8B3B2F06}"/>
    <hyperlink ref="N63" r:id="rId58" display="lucio.couto@c4capital.com.br" xr:uid="{94207BAD-FC83-4933-9D4A-5686A3C1B2CA}"/>
    <hyperlink ref="N64" r:id="rId59" display="lucio.couto@c4capital.com.br" xr:uid="{411F4BBC-8C6E-422B-BA48-DF3AD95656B2}"/>
    <hyperlink ref="N65" r:id="rId60" display="lucio.couto@c4capital.com.br" xr:uid="{0EB359A9-F31F-4BDF-B3C6-D3F836518FCE}"/>
    <hyperlink ref="N66" r:id="rId61" display="lucio.couto@c4capital.com.br" xr:uid="{3CC266EB-B595-42EF-B266-3F70F43CC624}"/>
    <hyperlink ref="N67" r:id="rId62" display="lucio.couto@c4capital.com.br" xr:uid="{8BF4FD26-B824-408D-BE56-B2A8AA9C90DB}"/>
    <hyperlink ref="N68" r:id="rId63" display="lucio.couto@c4capital.com.br" xr:uid="{B7DB4489-90E7-462B-BC57-99972E5B5718}"/>
    <hyperlink ref="N69" r:id="rId64" display="lucio.couto@c4capital.com.br" xr:uid="{CE526A34-97DB-4FCD-A739-A852F142B30F}"/>
    <hyperlink ref="N70" r:id="rId65" display="lucio.couto@c4capital.com.br" xr:uid="{55139465-C94A-4233-B60D-ED437C89D1E8}"/>
    <hyperlink ref="N71" r:id="rId66" display="lucio.couto@c4capital.com.br" xr:uid="{133A5A63-11F5-4E43-9C67-E0BD038AE680}"/>
    <hyperlink ref="N72" r:id="rId67" display="lucio.couto@c4capital.com.br" xr:uid="{56BF664B-C6F0-4F1B-BF14-358ECFBE8D59}"/>
    <hyperlink ref="N73" r:id="rId68" display="lucio.couto@c4capital.com.br" xr:uid="{135264B1-D252-4565-8FFF-9767EDD85553}"/>
    <hyperlink ref="N74" r:id="rId69" display="lucio.couto@c4capital.com.br" xr:uid="{BF0186AE-AB94-4B8F-8EBB-713095DAAAE4}"/>
    <hyperlink ref="N75" r:id="rId70" display="lucio.couto@c4capital.com.br" xr:uid="{F49F35D9-A935-4633-8630-F817480F2811}"/>
    <hyperlink ref="N76" r:id="rId71" display="lucio.couto@c4capital.com.br" xr:uid="{50E0BA02-863C-4219-A98C-0161C40ABA9D}"/>
    <hyperlink ref="N77" r:id="rId72" display="lucio.couto@c4capital.com.br" xr:uid="{E4981933-61E1-42EB-B011-9C880467D290}"/>
    <hyperlink ref="N78" r:id="rId73" display="lucio.couto@c4capital.com.br" xr:uid="{8839F1AA-C4A7-47EC-B2CD-D1BA06EC5D53}"/>
    <hyperlink ref="N79" r:id="rId74" display="lucio.couto@c4capital.com.br" xr:uid="{5A6EA28D-1868-4BBE-BD90-1EEC2D6553BF}"/>
    <hyperlink ref="N80" r:id="rId75" display="lucio.couto@c4capital.com.br" xr:uid="{AB39155F-0AC6-4E96-9C64-68272DE5D753}"/>
    <hyperlink ref="N81" r:id="rId76" display="lucio.couto@c4capital.com.br" xr:uid="{0E13E3C5-6FA4-4AFD-8201-84E471DC241F}"/>
    <hyperlink ref="N82" r:id="rId77" display="lucio.couto@c4capital.com.br" xr:uid="{9C6411B3-EF01-467C-88A7-B22E03CB4DA0}"/>
    <hyperlink ref="N83" r:id="rId78" display="lucio.couto@c4capital.com.br" xr:uid="{A3D1A8A9-242D-41CD-8CC6-AC9B83CC4567}"/>
    <hyperlink ref="N84" r:id="rId79" display="lucio.couto@c4capital.com.br" xr:uid="{80D3D6CF-AFB5-4DB2-862C-60E83CBEBFE0}"/>
    <hyperlink ref="N85" r:id="rId80" display="lucio.couto@c4capital.com.br" xr:uid="{43B29944-BAF5-4C46-AA0C-F7E71F2241EC}"/>
    <hyperlink ref="N86" r:id="rId81" display="lucio.couto@c4capital.com.br" xr:uid="{56DB7BD1-2DF9-489F-8D56-C3081B2D11BC}"/>
    <hyperlink ref="N87" r:id="rId82" display="lucio.couto@c4capital.com.br" xr:uid="{8913A549-54DC-4E84-BB07-35D9478D68D3}"/>
    <hyperlink ref="N88" r:id="rId83" display="lucio.couto@c4capital.com.br" xr:uid="{DB7E13AC-ABBA-4F2C-AB4B-16CF1594ECA9}"/>
    <hyperlink ref="N89" r:id="rId84" display="lucio.couto@c4capital.com.br" xr:uid="{63C331F3-C3F5-41D7-A6CD-FF1A8ED2EB29}"/>
    <hyperlink ref="N90" r:id="rId85" display="lucio.couto@c4capital.com.br" xr:uid="{D0E6CB27-D8B1-4B26-B651-01C78368C2D3}"/>
    <hyperlink ref="N91" r:id="rId86" display="lucio.couto@c4capital.com.br" xr:uid="{18B90919-4122-4BA5-8AF3-D619FA32720F}"/>
    <hyperlink ref="N92" r:id="rId87" display="lucio.couto@c4capital.com.br" xr:uid="{A1192334-57F0-4327-B79F-AB08410752A2}"/>
    <hyperlink ref="N93" r:id="rId88" display="lucio.couto@c4capital.com.br" xr:uid="{1B427539-0109-4FB8-87C5-8856A413D20F}"/>
    <hyperlink ref="N94" r:id="rId89" display="lucio.couto@c4capital.com.br" xr:uid="{DD7F0D9C-B6E7-4A27-BDF1-1F513FC343D4}"/>
    <hyperlink ref="N95" r:id="rId90" display="lucio.couto@c4capital.com.br" xr:uid="{7374D610-1E3F-42D9-A452-6BDBDCBEF4D5}"/>
    <hyperlink ref="N96" r:id="rId91" display="lucio.couto@c4capital.com.br" xr:uid="{F87A1546-57B8-43D7-9620-3E717B7A777A}"/>
    <hyperlink ref="N97" r:id="rId92" display="lucio.couto@c4capital.com.br" xr:uid="{38808CAC-2F5B-435A-8697-5BF0B829D543}"/>
    <hyperlink ref="N98" r:id="rId93" display="lucio.couto@c4capital.com.br" xr:uid="{7E985F70-D6EB-476D-82AF-B5481BFB55BA}"/>
    <hyperlink ref="N99" r:id="rId94" display="lucio.couto@c4capital.com.br" xr:uid="{CBE0EFDA-C6B3-4810-955F-06483C3B19AB}"/>
    <hyperlink ref="N100" r:id="rId95" display="lucio.couto@c4capital.com.br" xr:uid="{F94268DB-A98D-43A9-85D9-C56211730D6F}"/>
    <hyperlink ref="N101" r:id="rId96" display="lucio.couto@c4capital.com.br" xr:uid="{BC10A2CE-A0EA-4671-9E03-E234566E063C}"/>
    <hyperlink ref="N102" r:id="rId97" display="lucio.couto@c4capital.com.br" xr:uid="{0923B939-A722-43C4-A124-42D866FBCCA0}"/>
    <hyperlink ref="N103" r:id="rId98" display="lucio.couto@c4capital.com.br" xr:uid="{54FB7F49-BDC9-443A-A3D2-00161A3C1CA9}"/>
    <hyperlink ref="N104" r:id="rId99" display="lucio.couto@c4capital.com.br" xr:uid="{C1D40E81-0BC3-4CBD-A9F6-A439D95FBE63}"/>
    <hyperlink ref="N105" r:id="rId100" display="lucio.couto@c4capital.com.br" xr:uid="{9B3742D1-7975-4FEE-B416-CB9C19700506}"/>
  </hyperlinks>
  <pageMargins left="0.511811024" right="0.511811024" top="0.78740157499999996" bottom="0.78740157499999996" header="0.31496062000000002" footer="0.31496062000000002"/>
  <drawing r:id="rId101"/>
  <legacyDrawing r:id="rId10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305" r:id="rId103" name="Button 17">
              <controlPr defaultSize="0" print="0" autoFill="0" autoPict="0" macro="[0]!ExportarO7">
                <anchor moveWithCells="1" sizeWithCells="1">
                  <from>
                    <xdr:col>0</xdr:col>
                    <xdr:colOff>9525</xdr:colOff>
                    <xdr:row>0</xdr:row>
                    <xdr:rowOff>9525</xdr:rowOff>
                  </from>
                  <to>
                    <xdr:col>0</xdr:col>
                    <xdr:colOff>619125</xdr:colOff>
                    <xdr:row>0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2E4C-B302-47B5-A874-A46799EFEC70}">
  <sheetPr codeName="Planilha3"/>
  <dimension ref="A1:X101"/>
  <sheetViews>
    <sheetView showGridLines="0" workbookViewId="0">
      <pane ySplit="1" topLeftCell="A2" activePane="bottomLeft" state="frozen"/>
      <selection activeCell="A10" sqref="A10"/>
      <selection pane="bottomLeft" activeCell="X1" sqref="Q1:X1048576"/>
    </sheetView>
  </sheetViews>
  <sheetFormatPr defaultRowHeight="15"/>
  <cols>
    <col min="1" max="1" width="17.42578125" style="18" bestFit="1" customWidth="1"/>
    <col min="2" max="2" width="17.42578125" style="19" bestFit="1" customWidth="1"/>
    <col min="3" max="3" width="20.5703125" style="19" bestFit="1" customWidth="1"/>
    <col min="4" max="4" width="8.5703125" style="19" bestFit="1" customWidth="1"/>
    <col min="5" max="5" width="18.28515625" style="23" bestFit="1" customWidth="1"/>
    <col min="6" max="6" width="13.85546875" style="23" bestFit="1" customWidth="1"/>
    <col min="7" max="7" width="20" style="9" bestFit="1" customWidth="1"/>
    <col min="8" max="8" width="16.5703125" style="19" bestFit="1" customWidth="1"/>
    <col min="9" max="9" width="19" style="19" bestFit="1" customWidth="1"/>
    <col min="10" max="10" width="43.5703125" style="19" bestFit="1" customWidth="1"/>
    <col min="11" max="11" width="16.5703125" style="18" bestFit="1" customWidth="1"/>
    <col min="12" max="12" width="20" style="25" bestFit="1" customWidth="1"/>
    <col min="13" max="13" width="20.28515625" style="20" bestFit="1" customWidth="1"/>
    <col min="14" max="14" width="15.5703125" style="19" bestFit="1" customWidth="1"/>
    <col min="15" max="15" width="10" style="18" bestFit="1" customWidth="1"/>
    <col min="16" max="16" width="18" style="19" bestFit="1" customWidth="1"/>
    <col min="17" max="18" width="13.28515625" style="19" hidden="1" customWidth="1"/>
    <col min="19" max="19" width="5.85546875" hidden="1" customWidth="1"/>
    <col min="20" max="20" width="4.85546875" hidden="1" customWidth="1"/>
    <col min="21" max="21" width="17.42578125" hidden="1" customWidth="1"/>
    <col min="22" max="22" width="10.5703125" style="19" hidden="1" customWidth="1"/>
    <col min="23" max="23" width="9.140625" style="19" hidden="1" customWidth="1"/>
    <col min="24" max="24" width="10.7109375" style="19" hidden="1" customWidth="1"/>
    <col min="25" max="16384" width="9.140625" style="19"/>
  </cols>
  <sheetData>
    <row r="1" spans="1:24">
      <c r="A1" s="17" t="s">
        <v>21</v>
      </c>
      <c r="B1" s="17" t="s">
        <v>20</v>
      </c>
      <c r="C1" s="29" t="s">
        <v>93</v>
      </c>
      <c r="D1" s="17" t="s">
        <v>22</v>
      </c>
      <c r="E1" s="21" t="s">
        <v>23</v>
      </c>
      <c r="F1" s="21" t="s">
        <v>24</v>
      </c>
      <c r="G1" s="28" t="s">
        <v>25</v>
      </c>
      <c r="H1" s="17" t="s">
        <v>26</v>
      </c>
      <c r="I1" s="17" t="s">
        <v>27</v>
      </c>
      <c r="J1" s="17" t="s">
        <v>28</v>
      </c>
      <c r="K1" s="17" t="s">
        <v>29</v>
      </c>
      <c r="L1" s="24" t="s">
        <v>33</v>
      </c>
      <c r="M1" s="17" t="s">
        <v>32</v>
      </c>
      <c r="N1" s="17" t="s">
        <v>31</v>
      </c>
      <c r="O1" s="17" t="s">
        <v>34</v>
      </c>
      <c r="P1" s="17" t="s">
        <v>30</v>
      </c>
      <c r="Q1" s="48" t="s">
        <v>132</v>
      </c>
      <c r="R1" s="48" t="s">
        <v>111</v>
      </c>
      <c r="S1" s="46" t="s">
        <v>94</v>
      </c>
      <c r="T1" s="27" t="s">
        <v>86</v>
      </c>
      <c r="U1" s="26" t="str">
        <f>C1</f>
        <v>cnab_our_number</v>
      </c>
      <c r="W1" s="19" t="s">
        <v>144</v>
      </c>
      <c r="X1" s="20" t="s">
        <v>145</v>
      </c>
    </row>
    <row r="2" spans="1:24">
      <c r="A2" s="39" t="str">
        <f>IF(Bordero!B9="","",IF(Bordero!$G$3="Product",Bordero!J9,Bordero!D9))</f>
        <v>145-001</v>
      </c>
      <c r="B2" s="39" t="str">
        <f>IF(Bordero!B9="","",Bordero!D9)</f>
        <v>145-001</v>
      </c>
      <c r="C2" s="39" t="str">
        <f>IF(Bordero!B9="","",U2)</f>
        <v>Gustavo Oliveira/Co/145-001</v>
      </c>
      <c r="D2" s="40" t="str">
        <f>IF(Bordero!B9="","",Bordero!$G$3)</f>
        <v>Service</v>
      </c>
      <c r="E2" s="22">
        <f ca="1">IF(Bordero!B9="","",(F2-Q2-Simulador!H6))</f>
        <v>49917.755136737818</v>
      </c>
      <c r="F2" s="22">
        <f>IF(Bordero!B9="","",Bordero!I9)</f>
        <v>50000</v>
      </c>
      <c r="G2" s="16" t="str">
        <f>IF(Bordero!B9="","",Bordero!F9)</f>
        <v>08/07/2026</v>
      </c>
      <c r="H2" s="16" t="str">
        <f>IF(Bordero!B9="","",Bordero!E9)</f>
        <v>09/06/2026</v>
      </c>
      <c r="I2" s="41" t="str">
        <f>IF(Bordero!B9="","",Bordero!B9)</f>
        <v>42422048000219</v>
      </c>
      <c r="J2" s="40" t="str">
        <f>IF(Bordero!B9="","",Bordero!C9)</f>
        <v>MINERACAO AURIZONA EQUINOX GOLD</v>
      </c>
      <c r="K2" s="42">
        <f>IF(Bordero!B9="","",Bordero!K9)</f>
        <v>65285000</v>
      </c>
      <c r="L2" s="134">
        <f>IF(Bordero!B9="","",Bordero!$C$3)</f>
        <v>35071253000130</v>
      </c>
      <c r="M2" s="43" t="str">
        <f>IF(Bordero!B9="","",Bordero!$C$4)</f>
        <v>LOGMA ENGENHARIA INDUSTRIAL LTDA</v>
      </c>
      <c r="N2" s="42" t="str">
        <f>IF(Bordero!B9="","","sim")</f>
        <v>sim</v>
      </c>
      <c r="O2" s="42" t="str">
        <f>IF(Bordero!B9="","","duplicata")</f>
        <v>duplicata</v>
      </c>
      <c r="P2" s="135">
        <f t="shared" ref="P2:P35" si="0">L2</f>
        <v>35071253000130</v>
      </c>
      <c r="Q2" s="47">
        <f ca="1">IF(Bordero!B9="","",(1-(((Bordero!$I$6)+1)^R2))*F2*-1)</f>
        <v>82.244863262181951</v>
      </c>
      <c r="R2" s="33">
        <f ca="1">IF(Bordero!B9="","",(X2-Bordero!$H$1)/30)</f>
        <v>0.43333333333333335</v>
      </c>
      <c r="S2" s="45" t="str">
        <f>Bordero!$C$5</f>
        <v>Gustavo Oliveira</v>
      </c>
      <c r="T2" s="45" t="str">
        <f>REPLACE(Bordero!$E$3,3,50,"")</f>
        <v>Co</v>
      </c>
      <c r="U2" t="str">
        <f>CONCATENATE(S2,"/",T2,"/",B2)</f>
        <v>Gustavo Oliveira/Co/145-001</v>
      </c>
      <c r="V2" s="9"/>
      <c r="W2">
        <f>WEEKDAY(V2,1)</f>
        <v>7</v>
      </c>
      <c r="X2" s="9">
        <f>IF(G2=1,G2+2,IF(G2=7,G2+3,G2+1))</f>
        <v>46212</v>
      </c>
    </row>
    <row r="3" spans="1:24">
      <c r="A3" s="39" t="str">
        <f>IF(Bordero!B10="","",IF(Bordero!$G$3="Product",Bordero!J10,Bordero!D10))</f>
        <v/>
      </c>
      <c r="B3" s="39" t="str">
        <f>IF(Bordero!B10="","",Bordero!D10)</f>
        <v/>
      </c>
      <c r="C3" s="39" t="str">
        <f>IF(Bordero!B10="","",U3)</f>
        <v/>
      </c>
      <c r="D3" s="40" t="str">
        <f>IF(Bordero!B10="","",Bordero!$G$3)</f>
        <v/>
      </c>
      <c r="E3" s="22" t="str">
        <f>IF(Bordero!B10="","",(F3-Q3-Simulador!$H$6))</f>
        <v/>
      </c>
      <c r="F3" s="22" t="str">
        <f>IF(Bordero!B10="","",Bordero!I10)</f>
        <v/>
      </c>
      <c r="G3" s="16" t="str">
        <f>IF(Bordero!B10="","",Bordero!F10)</f>
        <v/>
      </c>
      <c r="H3" s="16" t="str">
        <f>IF(Bordero!B10="","",Bordero!E10)</f>
        <v/>
      </c>
      <c r="I3" s="41" t="str">
        <f>IF(Bordero!B10="","",Bordero!B10)</f>
        <v/>
      </c>
      <c r="J3" s="40" t="str">
        <f>IF(Bordero!B10="","",Bordero!C10)</f>
        <v/>
      </c>
      <c r="K3" s="42" t="str">
        <f>IF(Bordero!B10="","",Bordero!K10)</f>
        <v/>
      </c>
      <c r="L3" s="134" t="str">
        <f>IF(Bordero!B10="","",Bordero!$C$3)</f>
        <v/>
      </c>
      <c r="M3" s="43" t="str">
        <f>IF(Bordero!B10="","",Bordero!$C$4)</f>
        <v/>
      </c>
      <c r="N3" s="42" t="str">
        <f>IF(Bordero!B10="","","sim")</f>
        <v/>
      </c>
      <c r="O3" s="42" t="str">
        <f>IF(Bordero!B10="","","duplicata")</f>
        <v/>
      </c>
      <c r="P3" s="135" t="str">
        <f t="shared" si="0"/>
        <v/>
      </c>
      <c r="Q3" s="47" t="str">
        <f>IF(Bordero!B10="","",(1-(((Bordero!$I$6)+1)^R3))*F3*-1)</f>
        <v/>
      </c>
      <c r="R3" s="33" t="str">
        <f>IF(Bordero!B10="","",(X3-Bordero!$H$1)/30)</f>
        <v/>
      </c>
      <c r="S3" s="45" t="str">
        <f>Bordero!$C$5</f>
        <v>Gustavo Oliveira</v>
      </c>
      <c r="T3" s="45" t="str">
        <f>REPLACE(Bordero!$E$3,3,50,"")</f>
        <v>Co</v>
      </c>
      <c r="U3" t="str">
        <f t="shared" ref="U3:U66" si="1">CONCATENATE(S3,"/",T3,"/",B3)</f>
        <v>Gustavo Oliveira/Co/</v>
      </c>
      <c r="W3">
        <f t="shared" ref="W3:W36" si="2">WEEKDAY(V3,1)</f>
        <v>7</v>
      </c>
      <c r="X3" s="9" t="e">
        <f t="shared" ref="X3:X36" si="3">IF(G3=1,G3+2,IF(G3=7,G3+3,G3+1))</f>
        <v>#VALUE!</v>
      </c>
    </row>
    <row r="4" spans="1:24">
      <c r="A4" s="39" t="str">
        <f>IF(Bordero!B11="","",IF(Bordero!$G$3="Product",Bordero!J11,Bordero!D11))</f>
        <v/>
      </c>
      <c r="B4" s="39" t="str">
        <f>IF(Bordero!B11="","",Bordero!D11)</f>
        <v/>
      </c>
      <c r="C4" s="39" t="str">
        <f>IF(Bordero!B11="","",U4)</f>
        <v/>
      </c>
      <c r="D4" s="40" t="str">
        <f>IF(Bordero!B11="","",Bordero!$G$3)</f>
        <v/>
      </c>
      <c r="E4" s="22" t="str">
        <f>IF(Bordero!B11="","",(F4-Q4-Simulador!$H$6))</f>
        <v/>
      </c>
      <c r="F4" s="22" t="str">
        <f>IF(Bordero!B11="","",Bordero!I11)</f>
        <v/>
      </c>
      <c r="G4" s="16" t="str">
        <f>IF(Bordero!B11="","",Bordero!F11)</f>
        <v/>
      </c>
      <c r="H4" s="16" t="str">
        <f>IF(Bordero!B11="","",Bordero!E11)</f>
        <v/>
      </c>
      <c r="I4" s="41" t="str">
        <f>IF(Bordero!B11="","",Bordero!B11)</f>
        <v/>
      </c>
      <c r="J4" s="40" t="str">
        <f>IF(Bordero!B11="","",Bordero!C11)</f>
        <v/>
      </c>
      <c r="K4" s="42" t="str">
        <f>IF(Bordero!B11="","",Bordero!K11)</f>
        <v/>
      </c>
      <c r="L4" s="134" t="str">
        <f>IF(Bordero!B11="","",Bordero!$C$3)</f>
        <v/>
      </c>
      <c r="M4" s="43" t="str">
        <f>IF(Bordero!B11="","",Bordero!$C$4)</f>
        <v/>
      </c>
      <c r="N4" s="42" t="str">
        <f>IF(Bordero!B11="","","sim")</f>
        <v/>
      </c>
      <c r="O4" s="42" t="str">
        <f>IF(Bordero!B11="","","duplicata")</f>
        <v/>
      </c>
      <c r="P4" s="135" t="str">
        <f t="shared" si="0"/>
        <v/>
      </c>
      <c r="Q4" s="47" t="str">
        <f>IF(Bordero!B11="","",(1-(((Bordero!$I$6)+1)^R4))*F4*-1)</f>
        <v/>
      </c>
      <c r="R4" s="33" t="str">
        <f>IF(Bordero!B11="","",(X4-Bordero!$H$1)/30)</f>
        <v/>
      </c>
      <c r="S4" s="45" t="str">
        <f>Bordero!$C$5</f>
        <v>Gustavo Oliveira</v>
      </c>
      <c r="T4" s="45" t="str">
        <f>REPLACE(Bordero!$E$3,3,50,"")</f>
        <v>Co</v>
      </c>
      <c r="U4" t="str">
        <f t="shared" si="1"/>
        <v>Gustavo Oliveira/Co/</v>
      </c>
      <c r="W4">
        <f t="shared" si="2"/>
        <v>7</v>
      </c>
      <c r="X4" s="9" t="e">
        <f t="shared" si="3"/>
        <v>#VALUE!</v>
      </c>
    </row>
    <row r="5" spans="1:24">
      <c r="A5" s="39" t="str">
        <f>IF(Bordero!B12="","",IF(Bordero!$G$3="Product",Bordero!J12,Bordero!D12))</f>
        <v/>
      </c>
      <c r="B5" s="39" t="str">
        <f>IF(Bordero!B12="","",Bordero!D12)</f>
        <v/>
      </c>
      <c r="C5" s="39" t="str">
        <f>IF(Bordero!B12="","",U5)</f>
        <v/>
      </c>
      <c r="D5" s="40" t="str">
        <f>IF(Bordero!B12="","",Bordero!$G$3)</f>
        <v/>
      </c>
      <c r="E5" s="22" t="str">
        <f>IF(Bordero!B12="","",(F5-Q5-Simulador!$H$6))</f>
        <v/>
      </c>
      <c r="F5" s="22" t="str">
        <f>IF(Bordero!B12="","",Bordero!I12)</f>
        <v/>
      </c>
      <c r="G5" s="16" t="str">
        <f>IF(Bordero!B12="","",Bordero!F12)</f>
        <v/>
      </c>
      <c r="H5" s="16" t="str">
        <f>IF(Bordero!B12="","",Bordero!E12)</f>
        <v/>
      </c>
      <c r="I5" s="41" t="str">
        <f>IF(Bordero!B12="","",Bordero!B12)</f>
        <v/>
      </c>
      <c r="J5" s="40" t="str">
        <f>IF(Bordero!B12="","",Bordero!C12)</f>
        <v/>
      </c>
      <c r="K5" s="42" t="str">
        <f>IF(Bordero!B12="","",Bordero!K12)</f>
        <v/>
      </c>
      <c r="L5" s="134" t="str">
        <f>IF(Bordero!B12="","",Bordero!$C$3)</f>
        <v/>
      </c>
      <c r="M5" s="43" t="str">
        <f>IF(Bordero!B12="","",Bordero!$C$4)</f>
        <v/>
      </c>
      <c r="N5" s="42" t="str">
        <f>IF(Bordero!B12="","","sim")</f>
        <v/>
      </c>
      <c r="O5" s="42" t="str">
        <f>IF(Bordero!B12="","","duplicata")</f>
        <v/>
      </c>
      <c r="P5" s="135" t="str">
        <f t="shared" si="0"/>
        <v/>
      </c>
      <c r="Q5" s="47" t="str">
        <f>IF(Bordero!B12="","",(1-(((Bordero!$I$6)+1)^R5))*F5*-1)</f>
        <v/>
      </c>
      <c r="R5" s="33" t="str">
        <f>IF(Bordero!B12="","",(X5-Bordero!$H$1)/30)</f>
        <v/>
      </c>
      <c r="S5" s="45" t="str">
        <f>Bordero!$C$5</f>
        <v>Gustavo Oliveira</v>
      </c>
      <c r="T5" s="45" t="str">
        <f>REPLACE(Bordero!$E$3,3,50,"")</f>
        <v>Co</v>
      </c>
      <c r="U5" t="str">
        <f t="shared" si="1"/>
        <v>Gustavo Oliveira/Co/</v>
      </c>
      <c r="W5">
        <f t="shared" si="2"/>
        <v>7</v>
      </c>
      <c r="X5" s="9" t="e">
        <f t="shared" si="3"/>
        <v>#VALUE!</v>
      </c>
    </row>
    <row r="6" spans="1:24">
      <c r="A6" s="39" t="str">
        <f>IF(Bordero!B13="","",IF(Bordero!$G$3="Product",Bordero!J13,Bordero!D13))</f>
        <v/>
      </c>
      <c r="B6" s="39" t="str">
        <f>IF(Bordero!B13="","",Bordero!D13)</f>
        <v/>
      </c>
      <c r="C6" s="39" t="str">
        <f>IF(Bordero!B13="","",U6)</f>
        <v/>
      </c>
      <c r="D6" s="40" t="str">
        <f>IF(Bordero!B13="","",Bordero!$G$3)</f>
        <v/>
      </c>
      <c r="E6" s="22" t="str">
        <f>IF(Bordero!B13="","",(F6-Q6-Simulador!$H$6))</f>
        <v/>
      </c>
      <c r="F6" s="22" t="str">
        <f>IF(Bordero!B13="","",Bordero!I13)</f>
        <v/>
      </c>
      <c r="G6" s="16" t="str">
        <f>IF(Bordero!B13="","",Bordero!F13)</f>
        <v/>
      </c>
      <c r="H6" s="16" t="str">
        <f>IF(Bordero!B13="","",Bordero!E13)</f>
        <v/>
      </c>
      <c r="I6" s="41" t="str">
        <f>IF(Bordero!B13="","",Bordero!B13)</f>
        <v/>
      </c>
      <c r="J6" s="40" t="str">
        <f>IF(Bordero!B13="","",Bordero!C13)</f>
        <v/>
      </c>
      <c r="K6" s="42" t="str">
        <f>IF(Bordero!B13="","",Bordero!K13)</f>
        <v/>
      </c>
      <c r="L6" s="134" t="str">
        <f>IF(Bordero!B13="","",Bordero!$C$3)</f>
        <v/>
      </c>
      <c r="M6" s="43" t="str">
        <f>IF(Bordero!B13="","",Bordero!$C$4)</f>
        <v/>
      </c>
      <c r="N6" s="42" t="str">
        <f>IF(Bordero!B13="","","sim")</f>
        <v/>
      </c>
      <c r="O6" s="42" t="str">
        <f>IF(Bordero!B13="","","duplicata")</f>
        <v/>
      </c>
      <c r="P6" s="135" t="str">
        <f t="shared" si="0"/>
        <v/>
      </c>
      <c r="Q6" s="47" t="str">
        <f>IF(Bordero!B13="","",(1-(((Bordero!$I$6)+1)^R6))*F6*-1)</f>
        <v/>
      </c>
      <c r="R6" s="33" t="str">
        <f>IF(Bordero!B13="","",(X6-Bordero!$H$1)/30)</f>
        <v/>
      </c>
      <c r="S6" s="45" t="str">
        <f>Bordero!$C$5</f>
        <v>Gustavo Oliveira</v>
      </c>
      <c r="T6" s="45" t="str">
        <f>REPLACE(Bordero!$E$3,3,50,"")</f>
        <v>Co</v>
      </c>
      <c r="U6" t="str">
        <f t="shared" si="1"/>
        <v>Gustavo Oliveira/Co/</v>
      </c>
      <c r="W6">
        <f t="shared" si="2"/>
        <v>7</v>
      </c>
      <c r="X6" s="9" t="e">
        <f t="shared" si="3"/>
        <v>#VALUE!</v>
      </c>
    </row>
    <row r="7" spans="1:24">
      <c r="A7" s="39" t="str">
        <f>IF(Bordero!B14="","",IF(Bordero!$G$3="Product",Bordero!J14,Bordero!D14))</f>
        <v/>
      </c>
      <c r="B7" s="39" t="str">
        <f>IF(Bordero!B14="","",Bordero!D14)</f>
        <v/>
      </c>
      <c r="C7" s="39" t="str">
        <f>IF(Bordero!B14="","",U7)</f>
        <v/>
      </c>
      <c r="D7" s="40" t="str">
        <f>IF(Bordero!B14="","",Bordero!$G$3)</f>
        <v/>
      </c>
      <c r="E7" s="22" t="str">
        <f>IF(Bordero!B14="","",(F7-Q7-Simulador!$H$6))</f>
        <v/>
      </c>
      <c r="F7" s="22" t="str">
        <f>IF(Bordero!B14="","",Bordero!I14)</f>
        <v/>
      </c>
      <c r="G7" s="16" t="str">
        <f>IF(Bordero!B14="","",Bordero!F14)</f>
        <v/>
      </c>
      <c r="H7" s="16" t="str">
        <f>IF(Bordero!B14="","",Bordero!E14)</f>
        <v/>
      </c>
      <c r="I7" s="41" t="str">
        <f>IF(Bordero!B14="","",Bordero!B14)</f>
        <v/>
      </c>
      <c r="J7" s="40" t="str">
        <f>IF(Bordero!B14="","",Bordero!C14)</f>
        <v/>
      </c>
      <c r="K7" s="42" t="str">
        <f>IF(Bordero!B14="","",Bordero!K14)</f>
        <v/>
      </c>
      <c r="L7" s="134" t="str">
        <f>IF(Bordero!B14="","",Bordero!$C$3)</f>
        <v/>
      </c>
      <c r="M7" s="43" t="str">
        <f>IF(Bordero!B14="","",Bordero!$C$4)</f>
        <v/>
      </c>
      <c r="N7" s="42" t="str">
        <f>IF(Bordero!B14="","","sim")</f>
        <v/>
      </c>
      <c r="O7" s="42" t="str">
        <f>IF(Bordero!B14="","","duplicata")</f>
        <v/>
      </c>
      <c r="P7" s="135" t="str">
        <f t="shared" si="0"/>
        <v/>
      </c>
      <c r="Q7" s="47" t="str">
        <f>IF(Bordero!B14="","",(1-(((Bordero!$I$6)+1)^R7))*F7*-1)</f>
        <v/>
      </c>
      <c r="R7" s="33" t="str">
        <f>IF(Bordero!B14="","",(X7-Bordero!$H$1)/30)</f>
        <v/>
      </c>
      <c r="S7" s="45" t="str">
        <f>Bordero!$C$5</f>
        <v>Gustavo Oliveira</v>
      </c>
      <c r="T7" s="45" t="str">
        <f>REPLACE(Bordero!$E$3,3,50,"")</f>
        <v>Co</v>
      </c>
      <c r="U7" t="str">
        <f t="shared" si="1"/>
        <v>Gustavo Oliveira/Co/</v>
      </c>
      <c r="W7">
        <f t="shared" si="2"/>
        <v>7</v>
      </c>
      <c r="X7" s="9" t="e">
        <f t="shared" si="3"/>
        <v>#VALUE!</v>
      </c>
    </row>
    <row r="8" spans="1:24">
      <c r="A8" s="39" t="str">
        <f>IF(Bordero!B15="","",IF(Bordero!$G$3="Product",Bordero!J15,Bordero!D15))</f>
        <v/>
      </c>
      <c r="B8" s="39" t="str">
        <f>IF(Bordero!B15="","",Bordero!D15)</f>
        <v/>
      </c>
      <c r="C8" s="39" t="str">
        <f>IF(Bordero!B15="","",U8)</f>
        <v/>
      </c>
      <c r="D8" s="40" t="str">
        <f>IF(Bordero!B15="","",Bordero!$G$3)</f>
        <v/>
      </c>
      <c r="E8" s="22" t="str">
        <f>IF(Bordero!B15="","",(F8-Q8-Simulador!$H$6))</f>
        <v/>
      </c>
      <c r="F8" s="22" t="str">
        <f>IF(Bordero!B15="","",Bordero!I15)</f>
        <v/>
      </c>
      <c r="G8" s="16" t="str">
        <f>IF(Bordero!B15="","",Bordero!F15)</f>
        <v/>
      </c>
      <c r="H8" s="16" t="str">
        <f>IF(Bordero!B15="","",Bordero!E15)</f>
        <v/>
      </c>
      <c r="I8" s="41" t="str">
        <f>IF(Bordero!B15="","",Bordero!B15)</f>
        <v/>
      </c>
      <c r="J8" s="40" t="str">
        <f>IF(Bordero!B15="","",Bordero!C15)</f>
        <v/>
      </c>
      <c r="K8" s="42" t="str">
        <f>IF(Bordero!B15="","",Bordero!K15)</f>
        <v/>
      </c>
      <c r="L8" s="134" t="str">
        <f>IF(Bordero!B15="","",Bordero!$C$3)</f>
        <v/>
      </c>
      <c r="M8" s="43" t="str">
        <f>IF(Bordero!B15="","",Bordero!$C$4)</f>
        <v/>
      </c>
      <c r="N8" s="42" t="str">
        <f>IF(Bordero!B15="","","sim")</f>
        <v/>
      </c>
      <c r="O8" s="42" t="str">
        <f>IF(Bordero!B15="","","duplicata")</f>
        <v/>
      </c>
      <c r="P8" s="135" t="str">
        <f t="shared" si="0"/>
        <v/>
      </c>
      <c r="Q8" s="47" t="str">
        <f>IF(Bordero!B15="","",(1-(((Bordero!$I$6)+1)^R8))*F8*-1)</f>
        <v/>
      </c>
      <c r="R8" s="33" t="str">
        <f>IF(Bordero!B15="","",(X8-Bordero!$H$1)/30)</f>
        <v/>
      </c>
      <c r="S8" s="45" t="str">
        <f>Bordero!$C$5</f>
        <v>Gustavo Oliveira</v>
      </c>
      <c r="T8" s="45" t="str">
        <f>REPLACE(Bordero!$E$3,3,50,"")</f>
        <v>Co</v>
      </c>
      <c r="U8" t="str">
        <f t="shared" si="1"/>
        <v>Gustavo Oliveira/Co/</v>
      </c>
      <c r="W8">
        <f t="shared" si="2"/>
        <v>7</v>
      </c>
      <c r="X8" s="9" t="e">
        <f t="shared" si="3"/>
        <v>#VALUE!</v>
      </c>
    </row>
    <row r="9" spans="1:24">
      <c r="A9" s="39" t="str">
        <f>IF(Bordero!B16="","",IF(Bordero!$G$3="Product",Bordero!J16,Bordero!D16))</f>
        <v/>
      </c>
      <c r="B9" s="39" t="str">
        <f>IF(Bordero!B16="","",Bordero!D16)</f>
        <v/>
      </c>
      <c r="C9" s="39" t="str">
        <f>IF(Bordero!B16="","",U9)</f>
        <v/>
      </c>
      <c r="D9" s="40" t="str">
        <f>IF(Bordero!B16="","",Bordero!$G$3)</f>
        <v/>
      </c>
      <c r="E9" s="22" t="str">
        <f>IF(Bordero!B16="","",(F9-Q9-Simulador!$H$6))</f>
        <v/>
      </c>
      <c r="F9" s="22" t="str">
        <f>IF(Bordero!B16="","",Bordero!I16)</f>
        <v/>
      </c>
      <c r="G9" s="16" t="str">
        <f>IF(Bordero!B16="","",Bordero!F16)</f>
        <v/>
      </c>
      <c r="H9" s="16" t="str">
        <f>IF(Bordero!B16="","",Bordero!E16)</f>
        <v/>
      </c>
      <c r="I9" s="41" t="str">
        <f>IF(Bordero!B16="","",Bordero!B16)</f>
        <v/>
      </c>
      <c r="J9" s="40" t="str">
        <f>IF(Bordero!B16="","",Bordero!C16)</f>
        <v/>
      </c>
      <c r="K9" s="42" t="str">
        <f>IF(Bordero!B16="","",Bordero!K16)</f>
        <v/>
      </c>
      <c r="L9" s="134" t="str">
        <f>IF(Bordero!B16="","",Bordero!$C$3)</f>
        <v/>
      </c>
      <c r="M9" s="43" t="str">
        <f>IF(Bordero!B16="","",Bordero!$C$4)</f>
        <v/>
      </c>
      <c r="N9" s="42" t="str">
        <f>IF(Bordero!B16="","","sim")</f>
        <v/>
      </c>
      <c r="O9" s="42" t="str">
        <f>IF(Bordero!B16="","","duplicata")</f>
        <v/>
      </c>
      <c r="P9" s="135" t="str">
        <f t="shared" si="0"/>
        <v/>
      </c>
      <c r="Q9" s="47" t="str">
        <f>IF(Bordero!B16="","",(1-(((Bordero!$I$6)+1)^R9))*F9*-1)</f>
        <v/>
      </c>
      <c r="R9" s="33" t="str">
        <f>IF(Bordero!B16="","",(X9-Bordero!$H$1)/30)</f>
        <v/>
      </c>
      <c r="S9" s="45" t="str">
        <f>Bordero!$C$5</f>
        <v>Gustavo Oliveira</v>
      </c>
      <c r="T9" s="45" t="str">
        <f>REPLACE(Bordero!$E$3,3,50,"")</f>
        <v>Co</v>
      </c>
      <c r="U9" t="str">
        <f t="shared" si="1"/>
        <v>Gustavo Oliveira/Co/</v>
      </c>
      <c r="W9">
        <f t="shared" si="2"/>
        <v>7</v>
      </c>
      <c r="X9" s="9" t="e">
        <f t="shared" si="3"/>
        <v>#VALUE!</v>
      </c>
    </row>
    <row r="10" spans="1:24">
      <c r="A10" s="39" t="str">
        <f>IF(Bordero!B17="","",IF(Bordero!$G$3="Product",Bordero!J17,Bordero!D17))</f>
        <v/>
      </c>
      <c r="B10" s="39" t="str">
        <f>IF(Bordero!B17="","",Bordero!D17)</f>
        <v/>
      </c>
      <c r="C10" s="39" t="str">
        <f>IF(Bordero!B17="","",U10)</f>
        <v/>
      </c>
      <c r="D10" s="40" t="str">
        <f>IF(Bordero!B17="","",Bordero!$G$3)</f>
        <v/>
      </c>
      <c r="E10" s="22" t="str">
        <f>IF(Bordero!B17="","",(F10-Q10-Simulador!$H$6))</f>
        <v/>
      </c>
      <c r="F10" s="22" t="str">
        <f>IF(Bordero!B17="","",Bordero!I17)</f>
        <v/>
      </c>
      <c r="G10" s="16" t="str">
        <f>IF(Bordero!B17="","",Bordero!F17)</f>
        <v/>
      </c>
      <c r="H10" s="16" t="str">
        <f>IF(Bordero!B17="","",Bordero!E17)</f>
        <v/>
      </c>
      <c r="I10" s="41" t="str">
        <f>IF(Bordero!B17="","",Bordero!B17)</f>
        <v/>
      </c>
      <c r="J10" s="40" t="str">
        <f>IF(Bordero!B17="","",Bordero!C17)</f>
        <v/>
      </c>
      <c r="K10" s="42" t="str">
        <f>IF(Bordero!B17="","",Bordero!K17)</f>
        <v/>
      </c>
      <c r="L10" s="134" t="str">
        <f>IF(Bordero!B17="","",Bordero!$C$3)</f>
        <v/>
      </c>
      <c r="M10" s="43" t="str">
        <f>IF(Bordero!B17="","",Bordero!$C$4)</f>
        <v/>
      </c>
      <c r="N10" s="42" t="str">
        <f>IF(Bordero!B17="","","sim")</f>
        <v/>
      </c>
      <c r="O10" s="42" t="str">
        <f>IF(Bordero!B17="","","duplicata")</f>
        <v/>
      </c>
      <c r="P10" s="135" t="str">
        <f t="shared" si="0"/>
        <v/>
      </c>
      <c r="Q10" s="47" t="str">
        <f>IF(Bordero!B17="","",(1-(((Bordero!$I$6)+1)^R10))*F10*-1)</f>
        <v/>
      </c>
      <c r="R10" s="33" t="str">
        <f>IF(Bordero!B17="","",(X10-Bordero!$H$1)/30)</f>
        <v/>
      </c>
      <c r="S10" s="45" t="str">
        <f>Bordero!$C$5</f>
        <v>Gustavo Oliveira</v>
      </c>
      <c r="T10" s="45" t="str">
        <f>REPLACE(Bordero!$E$3,3,50,"")</f>
        <v>Co</v>
      </c>
      <c r="U10" t="str">
        <f t="shared" si="1"/>
        <v>Gustavo Oliveira/Co/</v>
      </c>
      <c r="W10">
        <f t="shared" si="2"/>
        <v>7</v>
      </c>
      <c r="X10" s="9" t="e">
        <f t="shared" si="3"/>
        <v>#VALUE!</v>
      </c>
    </row>
    <row r="11" spans="1:24">
      <c r="A11" s="39" t="str">
        <f>IF(Bordero!B18="","",IF(Bordero!$G$3="Product",Bordero!J18,Bordero!D18))</f>
        <v/>
      </c>
      <c r="B11" s="39" t="str">
        <f>IF(Bordero!B18="","",Bordero!D18)</f>
        <v/>
      </c>
      <c r="C11" s="39" t="str">
        <f>IF(Bordero!B18="","",U11)</f>
        <v/>
      </c>
      <c r="D11" s="40" t="str">
        <f>IF(Bordero!B18="","",Bordero!$G$3)</f>
        <v/>
      </c>
      <c r="E11" s="22" t="str">
        <f>IF(Bordero!B18="","",(F11-Q11-Simulador!$H$6))</f>
        <v/>
      </c>
      <c r="F11" s="22" t="str">
        <f>IF(Bordero!B18="","",Bordero!I18)</f>
        <v/>
      </c>
      <c r="G11" s="16" t="str">
        <f>IF(Bordero!B18="","",Bordero!F18)</f>
        <v/>
      </c>
      <c r="H11" s="16" t="str">
        <f>IF(Bordero!B18="","",Bordero!E18)</f>
        <v/>
      </c>
      <c r="I11" s="41" t="str">
        <f>IF(Bordero!B18="","",Bordero!B18)</f>
        <v/>
      </c>
      <c r="J11" s="40" t="str">
        <f>IF(Bordero!B18="","",Bordero!C18)</f>
        <v/>
      </c>
      <c r="K11" s="42" t="str">
        <f>IF(Bordero!B18="","",Bordero!K18)</f>
        <v/>
      </c>
      <c r="L11" s="134" t="str">
        <f>IF(Bordero!B18="","",Bordero!$C$3)</f>
        <v/>
      </c>
      <c r="M11" s="43" t="str">
        <f>IF(Bordero!B18="","",Bordero!$C$4)</f>
        <v/>
      </c>
      <c r="N11" s="42" t="str">
        <f>IF(Bordero!B18="","","sim")</f>
        <v/>
      </c>
      <c r="O11" s="42" t="str">
        <f>IF(Bordero!B18="","","duplicata")</f>
        <v/>
      </c>
      <c r="P11" s="135" t="str">
        <f t="shared" si="0"/>
        <v/>
      </c>
      <c r="Q11" s="47" t="str">
        <f>IF(Bordero!B18="","",(1-(((Bordero!$I$6)+1)^R11))*F11*-1)</f>
        <v/>
      </c>
      <c r="R11" s="33" t="str">
        <f>IF(Bordero!B18="","",(X11-Bordero!$H$1)/30)</f>
        <v/>
      </c>
      <c r="S11" s="45" t="str">
        <f>Bordero!$C$5</f>
        <v>Gustavo Oliveira</v>
      </c>
      <c r="T11" s="45" t="str">
        <f>REPLACE(Bordero!$E$3,3,50,"")</f>
        <v>Co</v>
      </c>
      <c r="U11" t="str">
        <f t="shared" si="1"/>
        <v>Gustavo Oliveira/Co/</v>
      </c>
      <c r="W11">
        <f t="shared" si="2"/>
        <v>7</v>
      </c>
      <c r="X11" s="9" t="e">
        <f t="shared" si="3"/>
        <v>#VALUE!</v>
      </c>
    </row>
    <row r="12" spans="1:24">
      <c r="A12" s="39" t="str">
        <f>IF(Bordero!B19="","",IF(Bordero!$G$3="Product",Bordero!J19,Bordero!D19))</f>
        <v/>
      </c>
      <c r="B12" s="39" t="str">
        <f>IF(Bordero!B19="","",Bordero!D19)</f>
        <v/>
      </c>
      <c r="C12" s="39" t="str">
        <f>IF(Bordero!B19="","",U12)</f>
        <v/>
      </c>
      <c r="D12" s="40" t="str">
        <f>IF(Bordero!B19="","",Bordero!$G$3)</f>
        <v/>
      </c>
      <c r="E12" s="22" t="str">
        <f>IF(Bordero!B19="","",(F12-Q12-Simulador!$H$6))</f>
        <v/>
      </c>
      <c r="F12" s="22" t="str">
        <f>IF(Bordero!B19="","",Bordero!I19)</f>
        <v/>
      </c>
      <c r="G12" s="16" t="str">
        <f>IF(Bordero!B19="","",Bordero!F19)</f>
        <v/>
      </c>
      <c r="H12" s="16" t="str">
        <f>IF(Bordero!B19="","",Bordero!E19)</f>
        <v/>
      </c>
      <c r="I12" s="41" t="str">
        <f>IF(Bordero!B19="","",Bordero!B19)</f>
        <v/>
      </c>
      <c r="J12" s="40" t="str">
        <f>IF(Bordero!B19="","",Bordero!C19)</f>
        <v/>
      </c>
      <c r="K12" s="42" t="str">
        <f>IF(Bordero!B19="","",Bordero!K19)</f>
        <v/>
      </c>
      <c r="L12" s="134" t="str">
        <f>IF(Bordero!B19="","",Bordero!$C$3)</f>
        <v/>
      </c>
      <c r="M12" s="43" t="str">
        <f>IF(Bordero!B19="","",Bordero!$C$4)</f>
        <v/>
      </c>
      <c r="N12" s="42" t="str">
        <f>IF(Bordero!B19="","","sim")</f>
        <v/>
      </c>
      <c r="O12" s="42" t="str">
        <f>IF(Bordero!B19="","","duplicata")</f>
        <v/>
      </c>
      <c r="P12" s="135" t="str">
        <f t="shared" si="0"/>
        <v/>
      </c>
      <c r="Q12" s="47" t="str">
        <f>IF(Bordero!B19="","",(1-(((Bordero!$I$6)+1)^R12))*F12*-1)</f>
        <v/>
      </c>
      <c r="R12" s="33" t="str">
        <f>IF(Bordero!B19="","",(X12-Bordero!$H$1)/30)</f>
        <v/>
      </c>
      <c r="S12" s="45" t="str">
        <f>Bordero!$C$5</f>
        <v>Gustavo Oliveira</v>
      </c>
      <c r="T12" s="45" t="str">
        <f>REPLACE(Bordero!$E$3,3,50,"")</f>
        <v>Co</v>
      </c>
      <c r="U12" t="str">
        <f t="shared" si="1"/>
        <v>Gustavo Oliveira/Co/</v>
      </c>
      <c r="W12">
        <f t="shared" si="2"/>
        <v>7</v>
      </c>
      <c r="X12" s="9" t="e">
        <f t="shared" si="3"/>
        <v>#VALUE!</v>
      </c>
    </row>
    <row r="13" spans="1:24">
      <c r="A13" s="39" t="str">
        <f>IF(Bordero!B20="","",IF(Bordero!$G$3="Product",Bordero!J20,Bordero!D20))</f>
        <v/>
      </c>
      <c r="B13" s="39" t="str">
        <f>IF(Bordero!B20="","",Bordero!D20)</f>
        <v/>
      </c>
      <c r="C13" s="39" t="str">
        <f>IF(Bordero!B20="","",U13)</f>
        <v/>
      </c>
      <c r="D13" s="40" t="str">
        <f>IF(Bordero!B20="","",Bordero!$G$3)</f>
        <v/>
      </c>
      <c r="E13" s="22" t="str">
        <f>IF(Bordero!B20="","",(F13-Q13-Simulador!$H$6))</f>
        <v/>
      </c>
      <c r="F13" s="22" t="str">
        <f>IF(Bordero!B20="","",Bordero!I20)</f>
        <v/>
      </c>
      <c r="G13" s="16" t="str">
        <f>IF(Bordero!B20="","",Bordero!F20)</f>
        <v/>
      </c>
      <c r="H13" s="16" t="str">
        <f>IF(Bordero!B20="","",Bordero!E20)</f>
        <v/>
      </c>
      <c r="I13" s="41" t="str">
        <f>IF(Bordero!B20="","",Bordero!B20)</f>
        <v/>
      </c>
      <c r="J13" s="40" t="str">
        <f>IF(Bordero!B20="","",Bordero!C20)</f>
        <v/>
      </c>
      <c r="K13" s="42" t="str">
        <f>IF(Bordero!B20="","",Bordero!K20)</f>
        <v/>
      </c>
      <c r="L13" s="134" t="str">
        <f>IF(Bordero!B20="","",Bordero!$C$3)</f>
        <v/>
      </c>
      <c r="M13" s="43" t="str">
        <f>IF(Bordero!B20="","",Bordero!$C$4)</f>
        <v/>
      </c>
      <c r="N13" s="42" t="str">
        <f>IF(Bordero!B20="","","sim")</f>
        <v/>
      </c>
      <c r="O13" s="42" t="str">
        <f>IF(Bordero!B20="","","duplicata")</f>
        <v/>
      </c>
      <c r="P13" s="135" t="str">
        <f t="shared" si="0"/>
        <v/>
      </c>
      <c r="Q13" s="47" t="str">
        <f>IF(Bordero!B20="","",(1-(((Bordero!$I$6)+1)^R13))*F13*-1)</f>
        <v/>
      </c>
      <c r="R13" s="33" t="str">
        <f>IF(Bordero!B20="","",(X13-Bordero!$H$1)/30)</f>
        <v/>
      </c>
      <c r="S13" s="45" t="str">
        <f>Bordero!$C$5</f>
        <v>Gustavo Oliveira</v>
      </c>
      <c r="T13" s="45" t="str">
        <f>REPLACE(Bordero!$E$3,3,50,"")</f>
        <v>Co</v>
      </c>
      <c r="U13" t="str">
        <f t="shared" si="1"/>
        <v>Gustavo Oliveira/Co/</v>
      </c>
      <c r="W13">
        <f t="shared" si="2"/>
        <v>7</v>
      </c>
      <c r="X13" s="9" t="e">
        <f t="shared" si="3"/>
        <v>#VALUE!</v>
      </c>
    </row>
    <row r="14" spans="1:24">
      <c r="A14" s="39" t="str">
        <f>IF(Bordero!B21="","",IF(Bordero!$G$3="Product",Bordero!J21,Bordero!D21))</f>
        <v/>
      </c>
      <c r="B14" s="39" t="str">
        <f>IF(Bordero!B21="","",Bordero!D21)</f>
        <v/>
      </c>
      <c r="C14" s="39" t="str">
        <f>IF(Bordero!B21="","",U14)</f>
        <v/>
      </c>
      <c r="D14" s="40" t="str">
        <f>IF(Bordero!B21="","",Bordero!$G$3)</f>
        <v/>
      </c>
      <c r="E14" s="22" t="str">
        <f>IF(Bordero!B21="","",(F14-Q14-Simulador!$H$6))</f>
        <v/>
      </c>
      <c r="F14" s="22" t="str">
        <f>IF(Bordero!B21="","",Bordero!I21)</f>
        <v/>
      </c>
      <c r="G14" s="16" t="str">
        <f>IF(Bordero!B21="","",Bordero!F21)</f>
        <v/>
      </c>
      <c r="H14" s="16" t="str">
        <f>IF(Bordero!B21="","",Bordero!E21)</f>
        <v/>
      </c>
      <c r="I14" s="41" t="str">
        <f>IF(Bordero!B21="","",Bordero!B21)</f>
        <v/>
      </c>
      <c r="J14" s="40" t="str">
        <f>IF(Bordero!B21="","",Bordero!C21)</f>
        <v/>
      </c>
      <c r="K14" s="42" t="str">
        <f>IF(Bordero!B21="","",Bordero!K21)</f>
        <v/>
      </c>
      <c r="L14" s="134" t="str">
        <f>IF(Bordero!B21="","",Bordero!$C$3)</f>
        <v/>
      </c>
      <c r="M14" s="43" t="str">
        <f>IF(Bordero!B21="","",Bordero!$C$4)</f>
        <v/>
      </c>
      <c r="N14" s="42" t="str">
        <f>IF(Bordero!B21="","","sim")</f>
        <v/>
      </c>
      <c r="O14" s="42" t="str">
        <f>IF(Bordero!B21="","","duplicata")</f>
        <v/>
      </c>
      <c r="P14" s="135" t="str">
        <f t="shared" si="0"/>
        <v/>
      </c>
      <c r="Q14" s="47" t="str">
        <f>IF(Bordero!B21="","",(1-(((Bordero!$I$6)+1)^R14))*F14*-1)</f>
        <v/>
      </c>
      <c r="R14" s="33" t="str">
        <f>IF(Bordero!B21="","",(X14-Bordero!$H$1)/30)</f>
        <v/>
      </c>
      <c r="S14" s="45" t="str">
        <f>Bordero!$C$5</f>
        <v>Gustavo Oliveira</v>
      </c>
      <c r="T14" s="45" t="str">
        <f>REPLACE(Bordero!$E$3,3,50,"")</f>
        <v>Co</v>
      </c>
      <c r="U14" t="str">
        <f t="shared" si="1"/>
        <v>Gustavo Oliveira/Co/</v>
      </c>
      <c r="W14">
        <f t="shared" si="2"/>
        <v>7</v>
      </c>
      <c r="X14" s="9" t="e">
        <f t="shared" si="3"/>
        <v>#VALUE!</v>
      </c>
    </row>
    <row r="15" spans="1:24">
      <c r="A15" s="39" t="str">
        <f>IF(Bordero!B22="","",IF(Bordero!$G$3="Product",Bordero!J22,Bordero!D22))</f>
        <v/>
      </c>
      <c r="B15" s="39" t="str">
        <f>IF(Bordero!B22="","",Bordero!D22)</f>
        <v/>
      </c>
      <c r="C15" s="39" t="str">
        <f>IF(Bordero!B22="","",U15)</f>
        <v/>
      </c>
      <c r="D15" s="40" t="str">
        <f>IF(Bordero!B22="","",Bordero!$G$3)</f>
        <v/>
      </c>
      <c r="E15" s="22" t="str">
        <f>IF(Bordero!B22="","",(F15-Q15-Simulador!$H$6))</f>
        <v/>
      </c>
      <c r="F15" s="22" t="str">
        <f>IF(Bordero!B22="","",Bordero!I22)</f>
        <v/>
      </c>
      <c r="G15" s="16" t="str">
        <f>IF(Bordero!B22="","",Bordero!F22)</f>
        <v/>
      </c>
      <c r="H15" s="16" t="str">
        <f>IF(Bordero!B22="","",Bordero!E22)</f>
        <v/>
      </c>
      <c r="I15" s="41" t="str">
        <f>IF(Bordero!B22="","",Bordero!B22)</f>
        <v/>
      </c>
      <c r="J15" s="40" t="str">
        <f>IF(Bordero!B22="","",Bordero!C22)</f>
        <v/>
      </c>
      <c r="K15" s="42" t="str">
        <f>IF(Bordero!B22="","",Bordero!K22)</f>
        <v/>
      </c>
      <c r="L15" s="134" t="str">
        <f>IF(Bordero!B22="","",Bordero!$C$3)</f>
        <v/>
      </c>
      <c r="M15" s="43" t="str">
        <f>IF(Bordero!B22="","",Bordero!$C$4)</f>
        <v/>
      </c>
      <c r="N15" s="42" t="str">
        <f>IF(Bordero!B22="","","sim")</f>
        <v/>
      </c>
      <c r="O15" s="42" t="str">
        <f>IF(Bordero!B22="","","duplicata")</f>
        <v/>
      </c>
      <c r="P15" s="135" t="str">
        <f t="shared" si="0"/>
        <v/>
      </c>
      <c r="Q15" s="47" t="str">
        <f>IF(Bordero!B22="","",(1-(((Bordero!$I$6)+1)^R15))*F15*-1)</f>
        <v/>
      </c>
      <c r="R15" s="33" t="str">
        <f>IF(Bordero!B22="","",(X15-Bordero!$H$1)/30)</f>
        <v/>
      </c>
      <c r="S15" s="45" t="str">
        <f>Bordero!$C$5</f>
        <v>Gustavo Oliveira</v>
      </c>
      <c r="T15" s="45" t="str">
        <f>REPLACE(Bordero!$E$3,3,50,"")</f>
        <v>Co</v>
      </c>
      <c r="U15" t="str">
        <f t="shared" si="1"/>
        <v>Gustavo Oliveira/Co/</v>
      </c>
      <c r="W15">
        <f t="shared" si="2"/>
        <v>7</v>
      </c>
      <c r="X15" s="9" t="e">
        <f t="shared" si="3"/>
        <v>#VALUE!</v>
      </c>
    </row>
    <row r="16" spans="1:24">
      <c r="A16" s="39" t="str">
        <f>IF(Bordero!B23="","",IF(Bordero!$G$3="Product",Bordero!J23,Bordero!D23))</f>
        <v/>
      </c>
      <c r="B16" s="39" t="str">
        <f>IF(Bordero!B23="","",Bordero!D23)</f>
        <v/>
      </c>
      <c r="C16" s="39" t="str">
        <f>IF(Bordero!B23="","",U16)</f>
        <v/>
      </c>
      <c r="D16" s="40" t="str">
        <f>IF(Bordero!B23="","",Bordero!$G$3)</f>
        <v/>
      </c>
      <c r="E16" s="22" t="str">
        <f>IF(Bordero!B23="","",(F16-Q16-Simulador!$H$6))</f>
        <v/>
      </c>
      <c r="F16" s="22" t="str">
        <f>IF(Bordero!B23="","",Bordero!I23)</f>
        <v/>
      </c>
      <c r="G16" s="16" t="str">
        <f>IF(Bordero!B23="","",Bordero!F23)</f>
        <v/>
      </c>
      <c r="H16" s="16" t="str">
        <f>IF(Bordero!B23="","",Bordero!E23)</f>
        <v/>
      </c>
      <c r="I16" s="41" t="str">
        <f>IF(Bordero!B23="","",Bordero!B23)</f>
        <v/>
      </c>
      <c r="J16" s="40" t="str">
        <f>IF(Bordero!B23="","",Bordero!C23)</f>
        <v/>
      </c>
      <c r="K16" s="42" t="str">
        <f>IF(Bordero!B23="","",Bordero!K23)</f>
        <v/>
      </c>
      <c r="L16" s="134" t="str">
        <f>IF(Bordero!B23="","",Bordero!$C$3)</f>
        <v/>
      </c>
      <c r="M16" s="43" t="str">
        <f>IF(Bordero!B23="","",Bordero!$C$4)</f>
        <v/>
      </c>
      <c r="N16" s="42" t="str">
        <f>IF(Bordero!B23="","","sim")</f>
        <v/>
      </c>
      <c r="O16" s="42" t="str">
        <f>IF(Bordero!B23="","","duplicata")</f>
        <v/>
      </c>
      <c r="P16" s="135" t="str">
        <f t="shared" si="0"/>
        <v/>
      </c>
      <c r="Q16" s="47" t="str">
        <f>IF(Bordero!B23="","",(1-(((Bordero!$I$6)+1)^R16))*F16*-1)</f>
        <v/>
      </c>
      <c r="R16" s="33" t="str">
        <f>IF(Bordero!B23="","",(X16-Bordero!$H$1)/30)</f>
        <v/>
      </c>
      <c r="S16" s="45" t="str">
        <f>Bordero!$C$5</f>
        <v>Gustavo Oliveira</v>
      </c>
      <c r="T16" s="45" t="str">
        <f>REPLACE(Bordero!$E$3,3,50,"")</f>
        <v>Co</v>
      </c>
      <c r="U16" t="str">
        <f t="shared" si="1"/>
        <v>Gustavo Oliveira/Co/</v>
      </c>
      <c r="W16">
        <f t="shared" si="2"/>
        <v>7</v>
      </c>
      <c r="X16" s="9" t="e">
        <f t="shared" si="3"/>
        <v>#VALUE!</v>
      </c>
    </row>
    <row r="17" spans="1:24">
      <c r="A17" s="39" t="str">
        <f>IF(Bordero!B24="","",IF(Bordero!$G$3="Product",Bordero!J24,Bordero!D24))</f>
        <v/>
      </c>
      <c r="B17" s="39" t="str">
        <f>IF(Bordero!B24="","",Bordero!D24)</f>
        <v/>
      </c>
      <c r="C17" s="39" t="str">
        <f>IF(Bordero!B24="","",U17)</f>
        <v/>
      </c>
      <c r="D17" s="40" t="str">
        <f>IF(Bordero!B24="","",Bordero!$G$3)</f>
        <v/>
      </c>
      <c r="E17" s="22" t="str">
        <f>IF(Bordero!B24="","",(F17-Q17-Simulador!$H$6))</f>
        <v/>
      </c>
      <c r="F17" s="22" t="str">
        <f>IF(Bordero!B24="","",Bordero!I24)</f>
        <v/>
      </c>
      <c r="G17" s="16" t="str">
        <f>IF(Bordero!B24="","",Bordero!F24)</f>
        <v/>
      </c>
      <c r="H17" s="16" t="str">
        <f>IF(Bordero!B24="","",Bordero!E24)</f>
        <v/>
      </c>
      <c r="I17" s="41" t="str">
        <f>IF(Bordero!B24="","",Bordero!B24)</f>
        <v/>
      </c>
      <c r="J17" s="40" t="str">
        <f>IF(Bordero!B24="","",Bordero!C24)</f>
        <v/>
      </c>
      <c r="K17" s="42" t="str">
        <f>IF(Bordero!B24="","",Bordero!K24)</f>
        <v/>
      </c>
      <c r="L17" s="134" t="str">
        <f>IF(Bordero!B24="","",Bordero!$C$3)</f>
        <v/>
      </c>
      <c r="M17" s="43" t="str">
        <f>IF(Bordero!B24="","",Bordero!$C$4)</f>
        <v/>
      </c>
      <c r="N17" s="42" t="str">
        <f>IF(Bordero!B24="","","sim")</f>
        <v/>
      </c>
      <c r="O17" s="42" t="str">
        <f>IF(Bordero!B24="","","duplicata")</f>
        <v/>
      </c>
      <c r="P17" s="135" t="str">
        <f t="shared" si="0"/>
        <v/>
      </c>
      <c r="Q17" s="47" t="str">
        <f>IF(Bordero!B24="","",(1-(((Bordero!$I$6)+1)^R17))*F17*-1)</f>
        <v/>
      </c>
      <c r="R17" s="33" t="str">
        <f>IF(Bordero!B24="","",(X17-Bordero!$H$1)/30)</f>
        <v/>
      </c>
      <c r="S17" s="45" t="str">
        <f>Bordero!$C$5</f>
        <v>Gustavo Oliveira</v>
      </c>
      <c r="T17" s="45" t="str">
        <f>REPLACE(Bordero!$E$3,3,50,"")</f>
        <v>Co</v>
      </c>
      <c r="U17" t="str">
        <f t="shared" si="1"/>
        <v>Gustavo Oliveira/Co/</v>
      </c>
      <c r="W17">
        <f t="shared" si="2"/>
        <v>7</v>
      </c>
      <c r="X17" s="9" t="e">
        <f t="shared" si="3"/>
        <v>#VALUE!</v>
      </c>
    </row>
    <row r="18" spans="1:24">
      <c r="A18" s="39" t="str">
        <f>IF(Bordero!B25="","",IF(Bordero!$G$3="Product",Bordero!J25,Bordero!D25))</f>
        <v/>
      </c>
      <c r="B18" s="39" t="str">
        <f>IF(Bordero!B25="","",Bordero!D25)</f>
        <v/>
      </c>
      <c r="C18" s="39" t="str">
        <f>IF(Bordero!B25="","",U18)</f>
        <v/>
      </c>
      <c r="D18" s="40" t="str">
        <f>IF(Bordero!B25="","",Bordero!$G$3)</f>
        <v/>
      </c>
      <c r="E18" s="22" t="str">
        <f>IF(Bordero!B25="","",(F18-Q18-Simulador!$H$6))</f>
        <v/>
      </c>
      <c r="F18" s="22" t="str">
        <f>IF(Bordero!B25="","",Bordero!I25)</f>
        <v/>
      </c>
      <c r="G18" s="16" t="str">
        <f>IF(Bordero!B25="","",Bordero!F25)</f>
        <v/>
      </c>
      <c r="H18" s="16" t="str">
        <f>IF(Bordero!B25="","",Bordero!E25)</f>
        <v/>
      </c>
      <c r="I18" s="41" t="str">
        <f>IF(Bordero!B25="","",Bordero!B25)</f>
        <v/>
      </c>
      <c r="J18" s="40" t="str">
        <f>IF(Bordero!B25="","",Bordero!C25)</f>
        <v/>
      </c>
      <c r="K18" s="42" t="str">
        <f>IF(Bordero!B25="","",Bordero!K25)</f>
        <v/>
      </c>
      <c r="L18" s="134" t="str">
        <f>IF(Bordero!B25="","",Bordero!$C$3)</f>
        <v/>
      </c>
      <c r="M18" s="43" t="str">
        <f>IF(Bordero!B25="","",Bordero!$C$4)</f>
        <v/>
      </c>
      <c r="N18" s="42" t="str">
        <f>IF(Bordero!B25="","","sim")</f>
        <v/>
      </c>
      <c r="O18" s="42" t="str">
        <f>IF(Bordero!B25="","","duplicata")</f>
        <v/>
      </c>
      <c r="P18" s="135" t="str">
        <f t="shared" si="0"/>
        <v/>
      </c>
      <c r="Q18" s="47" t="str">
        <f>IF(Bordero!B25="","",(1-(((Bordero!$I$6)+1)^R18))*F18*-1)</f>
        <v/>
      </c>
      <c r="R18" s="33" t="str">
        <f>IF(Bordero!B25="","",(X18-Bordero!$H$1)/30)</f>
        <v/>
      </c>
      <c r="S18" s="45" t="str">
        <f>Bordero!$C$5</f>
        <v>Gustavo Oliveira</v>
      </c>
      <c r="T18" s="45" t="str">
        <f>REPLACE(Bordero!$E$3,3,50,"")</f>
        <v>Co</v>
      </c>
      <c r="U18" t="str">
        <f t="shared" si="1"/>
        <v>Gustavo Oliveira/Co/</v>
      </c>
      <c r="W18">
        <f t="shared" si="2"/>
        <v>7</v>
      </c>
      <c r="X18" s="9" t="e">
        <f t="shared" si="3"/>
        <v>#VALUE!</v>
      </c>
    </row>
    <row r="19" spans="1:24">
      <c r="A19" s="39" t="str">
        <f>IF(Bordero!B26="","",IF(Bordero!$G$3="Product",Bordero!J26,Bordero!D26))</f>
        <v/>
      </c>
      <c r="B19" s="39" t="str">
        <f>IF(Bordero!B26="","",Bordero!D26)</f>
        <v/>
      </c>
      <c r="C19" s="39" t="str">
        <f>IF(Bordero!B26="","",U19)</f>
        <v/>
      </c>
      <c r="D19" s="40" t="str">
        <f>IF(Bordero!B26="","",Bordero!$G$3)</f>
        <v/>
      </c>
      <c r="E19" s="22" t="str">
        <f>IF(Bordero!B26="","",(F19-Q19-Simulador!$H$6))</f>
        <v/>
      </c>
      <c r="F19" s="22" t="str">
        <f>IF(Bordero!B26="","",Bordero!I26)</f>
        <v/>
      </c>
      <c r="G19" s="16" t="str">
        <f>IF(Bordero!B26="","",Bordero!F26)</f>
        <v/>
      </c>
      <c r="H19" s="16" t="str">
        <f>IF(Bordero!B26="","",Bordero!E26)</f>
        <v/>
      </c>
      <c r="I19" s="41" t="str">
        <f>IF(Bordero!B26="","",Bordero!B26)</f>
        <v/>
      </c>
      <c r="J19" s="40" t="str">
        <f>IF(Bordero!B26="","",Bordero!C26)</f>
        <v/>
      </c>
      <c r="K19" s="42" t="str">
        <f>IF(Bordero!B26="","",Bordero!K26)</f>
        <v/>
      </c>
      <c r="L19" s="134" t="str">
        <f>IF(Bordero!B26="","",Bordero!$C$3)</f>
        <v/>
      </c>
      <c r="M19" s="43" t="str">
        <f>IF(Bordero!B26="","",Bordero!$C$4)</f>
        <v/>
      </c>
      <c r="N19" s="42" t="str">
        <f>IF(Bordero!B26="","","sim")</f>
        <v/>
      </c>
      <c r="O19" s="42" t="str">
        <f>IF(Bordero!B26="","","duplicata")</f>
        <v/>
      </c>
      <c r="P19" s="135" t="str">
        <f t="shared" si="0"/>
        <v/>
      </c>
      <c r="Q19" s="47" t="str">
        <f>IF(Bordero!B26="","",(1-(((Bordero!$I$6)+1)^R19))*F19*-1)</f>
        <v/>
      </c>
      <c r="R19" s="33" t="str">
        <f>IF(Bordero!B26="","",(X19-Bordero!$H$1)/30)</f>
        <v/>
      </c>
      <c r="S19" s="45" t="str">
        <f>Bordero!$C$5</f>
        <v>Gustavo Oliveira</v>
      </c>
      <c r="T19" s="45" t="str">
        <f>REPLACE(Bordero!$E$3,3,50,"")</f>
        <v>Co</v>
      </c>
      <c r="U19" t="str">
        <f t="shared" si="1"/>
        <v>Gustavo Oliveira/Co/</v>
      </c>
      <c r="W19">
        <f t="shared" si="2"/>
        <v>7</v>
      </c>
      <c r="X19" s="9" t="e">
        <f t="shared" si="3"/>
        <v>#VALUE!</v>
      </c>
    </row>
    <row r="20" spans="1:24">
      <c r="A20" s="39" t="str">
        <f>IF(Bordero!B27="","",IF(Bordero!$G$3="Product",Bordero!J27,Bordero!D27))</f>
        <v/>
      </c>
      <c r="B20" s="39" t="str">
        <f>IF(Bordero!B27="","",Bordero!D27)</f>
        <v/>
      </c>
      <c r="C20" s="39" t="str">
        <f>IF(Bordero!B27="","",U20)</f>
        <v/>
      </c>
      <c r="D20" s="40" t="str">
        <f>IF(Bordero!B27="","",Bordero!$G$3)</f>
        <v/>
      </c>
      <c r="E20" s="22" t="str">
        <f>IF(Bordero!B27="","",(F20-Q20-Simulador!$H$6))</f>
        <v/>
      </c>
      <c r="F20" s="22" t="str">
        <f>IF(Bordero!B27="","",Bordero!I27)</f>
        <v/>
      </c>
      <c r="G20" s="16" t="str">
        <f>IF(Bordero!B27="","",Bordero!F27)</f>
        <v/>
      </c>
      <c r="H20" s="16" t="str">
        <f>IF(Bordero!B27="","",Bordero!E27)</f>
        <v/>
      </c>
      <c r="I20" s="41" t="str">
        <f>IF(Bordero!B27="","",Bordero!B27)</f>
        <v/>
      </c>
      <c r="J20" s="40" t="str">
        <f>IF(Bordero!B27="","",Bordero!C27)</f>
        <v/>
      </c>
      <c r="K20" s="42" t="str">
        <f>IF(Bordero!B27="","",Bordero!K27)</f>
        <v/>
      </c>
      <c r="L20" s="134" t="str">
        <f>IF(Bordero!B27="","",Bordero!$C$3)</f>
        <v/>
      </c>
      <c r="M20" s="43" t="str">
        <f>IF(Bordero!B27="","",Bordero!$C$4)</f>
        <v/>
      </c>
      <c r="N20" s="42" t="str">
        <f>IF(Bordero!B27="","","sim")</f>
        <v/>
      </c>
      <c r="O20" s="42" t="str">
        <f>IF(Bordero!B27="","","duplicata")</f>
        <v/>
      </c>
      <c r="P20" s="135" t="str">
        <f t="shared" si="0"/>
        <v/>
      </c>
      <c r="Q20" s="47" t="str">
        <f>IF(Bordero!B27="","",(1-(((Bordero!$I$6)+1)^R20))*F20*-1)</f>
        <v/>
      </c>
      <c r="R20" s="33" t="str">
        <f>IF(Bordero!B27="","",(X20-Bordero!$H$1)/30)</f>
        <v/>
      </c>
      <c r="S20" s="45" t="str">
        <f>Bordero!$C$5</f>
        <v>Gustavo Oliveira</v>
      </c>
      <c r="T20" s="45" t="str">
        <f>REPLACE(Bordero!$E$3,3,50,"")</f>
        <v>Co</v>
      </c>
      <c r="U20" t="str">
        <f t="shared" si="1"/>
        <v>Gustavo Oliveira/Co/</v>
      </c>
      <c r="W20">
        <f t="shared" si="2"/>
        <v>7</v>
      </c>
      <c r="X20" s="9" t="e">
        <f t="shared" si="3"/>
        <v>#VALUE!</v>
      </c>
    </row>
    <row r="21" spans="1:24">
      <c r="A21" s="39" t="str">
        <f>IF(Bordero!B28="","",IF(Bordero!$G$3="Product",Bordero!J28,Bordero!D28))</f>
        <v/>
      </c>
      <c r="B21" s="39" t="str">
        <f>IF(Bordero!B28="","",Bordero!D28)</f>
        <v/>
      </c>
      <c r="C21" s="39" t="str">
        <f>IF(Bordero!B28="","",U21)</f>
        <v/>
      </c>
      <c r="D21" s="40" t="str">
        <f>IF(Bordero!B28="","",Bordero!$G$3)</f>
        <v/>
      </c>
      <c r="E21" s="22" t="str">
        <f>IF(Bordero!B28="","",(F21-Q21-Simulador!$H$6))</f>
        <v/>
      </c>
      <c r="F21" s="22" t="str">
        <f>IF(Bordero!B28="","",Bordero!I28)</f>
        <v/>
      </c>
      <c r="G21" s="16" t="str">
        <f>IF(Bordero!B28="","",Bordero!F28)</f>
        <v/>
      </c>
      <c r="H21" s="16" t="str">
        <f>IF(Bordero!B28="","",Bordero!E28)</f>
        <v/>
      </c>
      <c r="I21" s="41" t="str">
        <f>IF(Bordero!B28="","",Bordero!B28)</f>
        <v/>
      </c>
      <c r="J21" s="40" t="str">
        <f>IF(Bordero!B28="","",Bordero!C28)</f>
        <v/>
      </c>
      <c r="K21" s="42" t="str">
        <f>IF(Bordero!B28="","",Bordero!K28)</f>
        <v/>
      </c>
      <c r="L21" s="134" t="str">
        <f>IF(Bordero!B28="","",Bordero!$C$3)</f>
        <v/>
      </c>
      <c r="M21" s="43" t="str">
        <f>IF(Bordero!B28="","",Bordero!$C$4)</f>
        <v/>
      </c>
      <c r="N21" s="42" t="str">
        <f>IF(Bordero!B28="","","sim")</f>
        <v/>
      </c>
      <c r="O21" s="42" t="str">
        <f>IF(Bordero!B28="","","duplicata")</f>
        <v/>
      </c>
      <c r="P21" s="135" t="str">
        <f t="shared" si="0"/>
        <v/>
      </c>
      <c r="Q21" s="47" t="str">
        <f>IF(Bordero!B28="","",(1-(((Bordero!$I$6)+1)^R21))*F21*-1)</f>
        <v/>
      </c>
      <c r="R21" s="33" t="str">
        <f>IF(Bordero!B28="","",(X21-Bordero!$H$1)/30)</f>
        <v/>
      </c>
      <c r="S21" s="45" t="str">
        <f>Bordero!$C$5</f>
        <v>Gustavo Oliveira</v>
      </c>
      <c r="T21" s="45" t="str">
        <f>REPLACE(Bordero!$E$3,3,50,"")</f>
        <v>Co</v>
      </c>
      <c r="U21" t="str">
        <f t="shared" si="1"/>
        <v>Gustavo Oliveira/Co/</v>
      </c>
      <c r="W21">
        <f t="shared" si="2"/>
        <v>7</v>
      </c>
      <c r="X21" s="9" t="e">
        <f t="shared" si="3"/>
        <v>#VALUE!</v>
      </c>
    </row>
    <row r="22" spans="1:24">
      <c r="A22" s="39" t="str">
        <f>IF(Bordero!B29="","",IF(Bordero!$G$3="Product",Bordero!J29,Bordero!D29))</f>
        <v/>
      </c>
      <c r="B22" s="39" t="str">
        <f>IF(Bordero!B29="","",Bordero!D29)</f>
        <v/>
      </c>
      <c r="C22" s="39" t="str">
        <f>IF(Bordero!B29="","",U22)</f>
        <v/>
      </c>
      <c r="D22" s="40" t="str">
        <f>IF(Bordero!B29="","",Bordero!$G$3)</f>
        <v/>
      </c>
      <c r="E22" s="22" t="str">
        <f>IF(Bordero!B29="","",(F22-Q22-Simulador!$H$6))</f>
        <v/>
      </c>
      <c r="F22" s="22" t="str">
        <f>IF(Bordero!B29="","",Bordero!I29)</f>
        <v/>
      </c>
      <c r="G22" s="16" t="str">
        <f>IF(Bordero!B29="","",Bordero!F29)</f>
        <v/>
      </c>
      <c r="H22" s="16" t="str">
        <f>IF(Bordero!B29="","",Bordero!E29)</f>
        <v/>
      </c>
      <c r="I22" s="41" t="str">
        <f>IF(Bordero!B29="","",Bordero!B29)</f>
        <v/>
      </c>
      <c r="J22" s="40" t="str">
        <f>IF(Bordero!B29="","",Bordero!C29)</f>
        <v/>
      </c>
      <c r="K22" s="42" t="str">
        <f>IF(Bordero!B29="","",Bordero!K29)</f>
        <v/>
      </c>
      <c r="L22" s="134" t="str">
        <f>IF(Bordero!B29="","",Bordero!$C$3)</f>
        <v/>
      </c>
      <c r="M22" s="43" t="str">
        <f>IF(Bordero!B29="","",Bordero!$C$4)</f>
        <v/>
      </c>
      <c r="N22" s="42" t="str">
        <f>IF(Bordero!B29="","","sim")</f>
        <v/>
      </c>
      <c r="O22" s="42" t="str">
        <f>IF(Bordero!B29="","","duplicata")</f>
        <v/>
      </c>
      <c r="P22" s="135" t="str">
        <f t="shared" si="0"/>
        <v/>
      </c>
      <c r="Q22" s="47" t="str">
        <f>IF(Bordero!B29="","",(1-(((Bordero!$I$6)+1)^R22))*F22*-1)</f>
        <v/>
      </c>
      <c r="R22" s="33" t="str">
        <f>IF(Bordero!B29="","",(X22-Bordero!$H$1)/30)</f>
        <v/>
      </c>
      <c r="S22" s="45" t="str">
        <f>Bordero!$C$5</f>
        <v>Gustavo Oliveira</v>
      </c>
      <c r="T22" s="45" t="str">
        <f>REPLACE(Bordero!$E$3,3,50,"")</f>
        <v>Co</v>
      </c>
      <c r="U22" t="str">
        <f t="shared" si="1"/>
        <v>Gustavo Oliveira/Co/</v>
      </c>
      <c r="W22">
        <f t="shared" si="2"/>
        <v>7</v>
      </c>
      <c r="X22" s="9" t="e">
        <f t="shared" si="3"/>
        <v>#VALUE!</v>
      </c>
    </row>
    <row r="23" spans="1:24">
      <c r="A23" s="39" t="str">
        <f>IF(Bordero!B30="","",IF(Bordero!$G$3="Product",Bordero!J30,Bordero!D30))</f>
        <v/>
      </c>
      <c r="B23" s="39" t="str">
        <f>IF(Bordero!B30="","",Bordero!D30)</f>
        <v/>
      </c>
      <c r="C23" s="39" t="str">
        <f>IF(Bordero!B30="","",U23)</f>
        <v/>
      </c>
      <c r="D23" s="40" t="str">
        <f>IF(Bordero!B30="","",Bordero!$G$3)</f>
        <v/>
      </c>
      <c r="E23" s="22" t="str">
        <f>IF(Bordero!B30="","",(F23-Q23-Simulador!$H$6))</f>
        <v/>
      </c>
      <c r="F23" s="22" t="str">
        <f>IF(Bordero!B30="","",Bordero!I30)</f>
        <v/>
      </c>
      <c r="G23" s="16" t="str">
        <f>IF(Bordero!B30="","",Bordero!F30)</f>
        <v/>
      </c>
      <c r="H23" s="16" t="str">
        <f>IF(Bordero!B30="","",Bordero!E30)</f>
        <v/>
      </c>
      <c r="I23" s="41" t="str">
        <f>IF(Bordero!B30="","",Bordero!B30)</f>
        <v/>
      </c>
      <c r="J23" s="40" t="str">
        <f>IF(Bordero!B30="","",Bordero!C30)</f>
        <v/>
      </c>
      <c r="K23" s="42" t="str">
        <f>IF(Bordero!B30="","",Bordero!K30)</f>
        <v/>
      </c>
      <c r="L23" s="134" t="str">
        <f>IF(Bordero!B30="","",Bordero!$C$3)</f>
        <v/>
      </c>
      <c r="M23" s="43" t="str">
        <f>IF(Bordero!B30="","",Bordero!$C$4)</f>
        <v/>
      </c>
      <c r="N23" s="42" t="str">
        <f>IF(Bordero!B30="","","sim")</f>
        <v/>
      </c>
      <c r="O23" s="42" t="str">
        <f>IF(Bordero!B30="","","duplicata")</f>
        <v/>
      </c>
      <c r="P23" s="135" t="str">
        <f t="shared" si="0"/>
        <v/>
      </c>
      <c r="Q23" s="47" t="str">
        <f>IF(Bordero!B30="","",(1-(((Bordero!$I$6)+1)^R23))*F23*-1)</f>
        <v/>
      </c>
      <c r="R23" s="33" t="str">
        <f>IF(Bordero!B30="","",(X23-Bordero!$H$1)/30)</f>
        <v/>
      </c>
      <c r="S23" s="45" t="str">
        <f>Bordero!$C$5</f>
        <v>Gustavo Oliveira</v>
      </c>
      <c r="T23" s="45" t="str">
        <f>REPLACE(Bordero!$E$3,3,50,"")</f>
        <v>Co</v>
      </c>
      <c r="U23" t="str">
        <f t="shared" si="1"/>
        <v>Gustavo Oliveira/Co/</v>
      </c>
      <c r="W23">
        <f t="shared" si="2"/>
        <v>7</v>
      </c>
      <c r="X23" s="9" t="e">
        <f t="shared" si="3"/>
        <v>#VALUE!</v>
      </c>
    </row>
    <row r="24" spans="1:24">
      <c r="A24" s="39" t="str">
        <f>IF(Bordero!B31="","",IF(Bordero!$G$3="Product",Bordero!J31,Bordero!D31))</f>
        <v/>
      </c>
      <c r="B24" s="39" t="str">
        <f>IF(Bordero!B31="","",Bordero!D31)</f>
        <v/>
      </c>
      <c r="C24" s="39" t="str">
        <f>IF(Bordero!B31="","",U24)</f>
        <v/>
      </c>
      <c r="D24" s="40" t="str">
        <f>IF(Bordero!B31="","",Bordero!$G$3)</f>
        <v/>
      </c>
      <c r="E24" s="22" t="str">
        <f>IF(Bordero!B31="","",(F24-Q24-Simulador!$H$6))</f>
        <v/>
      </c>
      <c r="F24" s="22" t="str">
        <f>IF(Bordero!B31="","",Bordero!I31)</f>
        <v/>
      </c>
      <c r="G24" s="16" t="str">
        <f>IF(Bordero!B31="","",Bordero!F31)</f>
        <v/>
      </c>
      <c r="H24" s="16" t="str">
        <f>IF(Bordero!B31="","",Bordero!E31)</f>
        <v/>
      </c>
      <c r="I24" s="41" t="str">
        <f>IF(Bordero!B31="","",Bordero!B31)</f>
        <v/>
      </c>
      <c r="J24" s="40" t="str">
        <f>IF(Bordero!B31="","",Bordero!C31)</f>
        <v/>
      </c>
      <c r="K24" s="42" t="str">
        <f>IF(Bordero!B31="","",Bordero!K31)</f>
        <v/>
      </c>
      <c r="L24" s="134" t="str">
        <f>IF(Bordero!B31="","",Bordero!$C$3)</f>
        <v/>
      </c>
      <c r="M24" s="43" t="str">
        <f>IF(Bordero!B31="","",Bordero!$C$4)</f>
        <v/>
      </c>
      <c r="N24" s="42" t="str">
        <f>IF(Bordero!B31="","","sim")</f>
        <v/>
      </c>
      <c r="O24" s="42" t="str">
        <f>IF(Bordero!B31="","","duplicata")</f>
        <v/>
      </c>
      <c r="P24" s="135" t="str">
        <f t="shared" si="0"/>
        <v/>
      </c>
      <c r="Q24" s="47" t="str">
        <f>IF(Bordero!B31="","",(1-(((Bordero!$I$6)+1)^R24))*F24*-1)</f>
        <v/>
      </c>
      <c r="R24" s="33" t="str">
        <f>IF(Bordero!B31="","",(X24-Bordero!$H$1)/30)</f>
        <v/>
      </c>
      <c r="S24" s="45" t="str">
        <f>Bordero!$C$5</f>
        <v>Gustavo Oliveira</v>
      </c>
      <c r="T24" s="45" t="str">
        <f>REPLACE(Bordero!$E$3,3,50,"")</f>
        <v>Co</v>
      </c>
      <c r="U24" t="str">
        <f t="shared" si="1"/>
        <v>Gustavo Oliveira/Co/</v>
      </c>
      <c r="W24">
        <f t="shared" si="2"/>
        <v>7</v>
      </c>
      <c r="X24" s="9" t="e">
        <f t="shared" si="3"/>
        <v>#VALUE!</v>
      </c>
    </row>
    <row r="25" spans="1:24">
      <c r="A25" s="39" t="str">
        <f>IF(Bordero!B32="","",IF(Bordero!$G$3="Product",Bordero!J32,Bordero!D32))</f>
        <v/>
      </c>
      <c r="B25" s="39" t="str">
        <f>IF(Bordero!B32="","",Bordero!D32)</f>
        <v/>
      </c>
      <c r="C25" s="39" t="str">
        <f>IF(Bordero!B32="","",U25)</f>
        <v/>
      </c>
      <c r="D25" s="40" t="str">
        <f>IF(Bordero!B32="","",Bordero!$G$3)</f>
        <v/>
      </c>
      <c r="E25" s="22" t="str">
        <f>IF(Bordero!B32="","",(F25-Q25-Simulador!$H$6))</f>
        <v/>
      </c>
      <c r="F25" s="22" t="str">
        <f>IF(Bordero!B32="","",Bordero!I32)</f>
        <v/>
      </c>
      <c r="G25" s="16" t="str">
        <f>IF(Bordero!B32="","",Bordero!F32)</f>
        <v/>
      </c>
      <c r="H25" s="16" t="str">
        <f>IF(Bordero!B32="","",Bordero!E32)</f>
        <v/>
      </c>
      <c r="I25" s="41" t="str">
        <f>IF(Bordero!B32="","",Bordero!B32)</f>
        <v/>
      </c>
      <c r="J25" s="40" t="str">
        <f>IF(Bordero!B32="","",Bordero!C32)</f>
        <v/>
      </c>
      <c r="K25" s="42" t="str">
        <f>IF(Bordero!B32="","",Bordero!K32)</f>
        <v/>
      </c>
      <c r="L25" s="134" t="str">
        <f>IF(Bordero!B32="","",Bordero!$C$3)</f>
        <v/>
      </c>
      <c r="M25" s="43" t="str">
        <f>IF(Bordero!B32="","",Bordero!$C$4)</f>
        <v/>
      </c>
      <c r="N25" s="42" t="str">
        <f>IF(Bordero!B32="","","sim")</f>
        <v/>
      </c>
      <c r="O25" s="42" t="str">
        <f>IF(Bordero!B32="","","duplicata")</f>
        <v/>
      </c>
      <c r="P25" s="135" t="str">
        <f t="shared" si="0"/>
        <v/>
      </c>
      <c r="Q25" s="47" t="str">
        <f>IF(Bordero!B32="","",(1-(((Bordero!$I$6)+1)^R25))*F25*-1)</f>
        <v/>
      </c>
      <c r="R25" s="33" t="str">
        <f>IF(Bordero!B32="","",(X25-Bordero!$H$1)/30)</f>
        <v/>
      </c>
      <c r="S25" s="45" t="str">
        <f>Bordero!$C$5</f>
        <v>Gustavo Oliveira</v>
      </c>
      <c r="T25" s="45" t="str">
        <f>REPLACE(Bordero!$E$3,3,50,"")</f>
        <v>Co</v>
      </c>
      <c r="U25" t="str">
        <f t="shared" si="1"/>
        <v>Gustavo Oliveira/Co/</v>
      </c>
      <c r="W25">
        <f t="shared" si="2"/>
        <v>7</v>
      </c>
      <c r="X25" s="9" t="e">
        <f t="shared" si="3"/>
        <v>#VALUE!</v>
      </c>
    </row>
    <row r="26" spans="1:24">
      <c r="A26" s="39" t="str">
        <f>IF(Bordero!B33="","",IF(Bordero!$G$3="Product",Bordero!J33,Bordero!D33))</f>
        <v/>
      </c>
      <c r="B26" s="39" t="str">
        <f>IF(Bordero!B33="","",Bordero!D33)</f>
        <v/>
      </c>
      <c r="C26" s="39" t="str">
        <f>IF(Bordero!B33="","",U26)</f>
        <v/>
      </c>
      <c r="D26" s="40" t="str">
        <f>IF(Bordero!B33="","",Bordero!$G$3)</f>
        <v/>
      </c>
      <c r="E26" s="22" t="str">
        <f>IF(Bordero!B33="","",(F26-Q26-Simulador!$H$6))</f>
        <v/>
      </c>
      <c r="F26" s="22" t="str">
        <f>IF(Bordero!B33="","",Bordero!I33)</f>
        <v/>
      </c>
      <c r="G26" s="16" t="str">
        <f>IF(Bordero!B33="","",Bordero!F33)</f>
        <v/>
      </c>
      <c r="H26" s="16" t="str">
        <f>IF(Bordero!B33="","",Bordero!E33)</f>
        <v/>
      </c>
      <c r="I26" s="41" t="str">
        <f>IF(Bordero!B33="","",Bordero!B33)</f>
        <v/>
      </c>
      <c r="J26" s="40" t="str">
        <f>IF(Bordero!B33="","",Bordero!C33)</f>
        <v/>
      </c>
      <c r="K26" s="42" t="str">
        <f>IF(Bordero!B33="","",Bordero!K33)</f>
        <v/>
      </c>
      <c r="L26" s="134" t="str">
        <f>IF(Bordero!B33="","",Bordero!$C$3)</f>
        <v/>
      </c>
      <c r="M26" s="43" t="str">
        <f>IF(Bordero!B33="","",Bordero!$C$4)</f>
        <v/>
      </c>
      <c r="N26" s="42" t="str">
        <f>IF(Bordero!B33="","","sim")</f>
        <v/>
      </c>
      <c r="O26" s="42" t="str">
        <f>IF(Bordero!B33="","","duplicata")</f>
        <v/>
      </c>
      <c r="P26" s="135" t="str">
        <f t="shared" si="0"/>
        <v/>
      </c>
      <c r="Q26" s="47" t="str">
        <f>IF(Bordero!B33="","",(1-(((Bordero!$I$6)+1)^R26))*F26*-1)</f>
        <v/>
      </c>
      <c r="R26" s="33" t="str">
        <f>IF(Bordero!B33="","",(X26-Bordero!$H$1)/30)</f>
        <v/>
      </c>
      <c r="S26" s="45" t="str">
        <f>Bordero!$C$5</f>
        <v>Gustavo Oliveira</v>
      </c>
      <c r="T26" s="45" t="str">
        <f>REPLACE(Bordero!$E$3,3,50,"")</f>
        <v>Co</v>
      </c>
      <c r="U26" t="str">
        <f t="shared" si="1"/>
        <v>Gustavo Oliveira/Co/</v>
      </c>
      <c r="W26">
        <f t="shared" si="2"/>
        <v>7</v>
      </c>
      <c r="X26" s="9" t="e">
        <f t="shared" si="3"/>
        <v>#VALUE!</v>
      </c>
    </row>
    <row r="27" spans="1:24">
      <c r="A27" s="39" t="str">
        <f>IF(Bordero!B34="","",IF(Bordero!$G$3="Product",Bordero!J34,Bordero!D34))</f>
        <v/>
      </c>
      <c r="B27" s="39" t="str">
        <f>IF(Bordero!B34="","",Bordero!D34)</f>
        <v/>
      </c>
      <c r="C27" s="39" t="str">
        <f>IF(Bordero!B34="","",U27)</f>
        <v/>
      </c>
      <c r="D27" s="40" t="str">
        <f>IF(Bordero!B34="","",Bordero!$G$3)</f>
        <v/>
      </c>
      <c r="E27" s="22" t="str">
        <f>IF(Bordero!B34="","",(F27-Q27-Simulador!$H$6))</f>
        <v/>
      </c>
      <c r="F27" s="22" t="str">
        <f>IF(Bordero!B34="","",Bordero!I34)</f>
        <v/>
      </c>
      <c r="G27" s="16" t="str">
        <f>IF(Bordero!B34="","",Bordero!F34)</f>
        <v/>
      </c>
      <c r="H27" s="16" t="str">
        <f>IF(Bordero!B34="","",Bordero!E34)</f>
        <v/>
      </c>
      <c r="I27" s="41" t="str">
        <f>IF(Bordero!B34="","",Bordero!B34)</f>
        <v/>
      </c>
      <c r="J27" s="40" t="str">
        <f>IF(Bordero!B34="","",Bordero!C34)</f>
        <v/>
      </c>
      <c r="K27" s="42" t="str">
        <f>IF(Bordero!B34="","",Bordero!K34)</f>
        <v/>
      </c>
      <c r="L27" s="134" t="str">
        <f>IF(Bordero!B34="","",Bordero!$C$3)</f>
        <v/>
      </c>
      <c r="M27" s="43" t="str">
        <f>IF(Bordero!B34="","",Bordero!$C$4)</f>
        <v/>
      </c>
      <c r="N27" s="42" t="str">
        <f>IF(Bordero!B34="","","sim")</f>
        <v/>
      </c>
      <c r="O27" s="42" t="str">
        <f>IF(Bordero!B34="","","duplicata")</f>
        <v/>
      </c>
      <c r="P27" s="135" t="str">
        <f t="shared" si="0"/>
        <v/>
      </c>
      <c r="Q27" s="47" t="str">
        <f>IF(Bordero!B34="","",(1-(((Bordero!$I$6)+1)^R27))*F27*-1)</f>
        <v/>
      </c>
      <c r="R27" s="33" t="str">
        <f>IF(Bordero!B34="","",(X27-Bordero!$H$1)/30)</f>
        <v/>
      </c>
      <c r="S27" s="45" t="str">
        <f>Bordero!$C$5</f>
        <v>Gustavo Oliveira</v>
      </c>
      <c r="T27" s="45" t="str">
        <f>REPLACE(Bordero!$E$3,3,50,"")</f>
        <v>Co</v>
      </c>
      <c r="U27" t="str">
        <f t="shared" si="1"/>
        <v>Gustavo Oliveira/Co/</v>
      </c>
      <c r="W27">
        <f t="shared" si="2"/>
        <v>7</v>
      </c>
      <c r="X27" s="9" t="e">
        <f t="shared" si="3"/>
        <v>#VALUE!</v>
      </c>
    </row>
    <row r="28" spans="1:24">
      <c r="A28" s="39" t="str">
        <f>IF(Bordero!B35="","",IF(Bordero!$G$3="Product",Bordero!J35,Bordero!D35))</f>
        <v/>
      </c>
      <c r="B28" s="39" t="str">
        <f>IF(Bordero!B35="","",Bordero!D35)</f>
        <v/>
      </c>
      <c r="C28" s="39" t="str">
        <f>IF(Bordero!B35="","",U28)</f>
        <v/>
      </c>
      <c r="D28" s="40" t="str">
        <f>IF(Bordero!B35="","",Bordero!$G$3)</f>
        <v/>
      </c>
      <c r="E28" s="22" t="str">
        <f>IF(Bordero!B35="","",(F28-Q28-Simulador!$H$6))</f>
        <v/>
      </c>
      <c r="F28" s="22" t="str">
        <f>IF(Bordero!B35="","",Bordero!I35)</f>
        <v/>
      </c>
      <c r="G28" s="16" t="str">
        <f>IF(Bordero!B35="","",Bordero!F35)</f>
        <v/>
      </c>
      <c r="H28" s="16" t="str">
        <f>IF(Bordero!B35="","",Bordero!E35)</f>
        <v/>
      </c>
      <c r="I28" s="41" t="str">
        <f>IF(Bordero!B35="","",Bordero!B35)</f>
        <v/>
      </c>
      <c r="J28" s="40" t="str">
        <f>IF(Bordero!B35="","",Bordero!C35)</f>
        <v/>
      </c>
      <c r="K28" s="42" t="str">
        <f>IF(Bordero!B35="","",Bordero!K35)</f>
        <v/>
      </c>
      <c r="L28" s="134" t="str">
        <f>IF(Bordero!B35="","",Bordero!$C$3)</f>
        <v/>
      </c>
      <c r="M28" s="43" t="str">
        <f>IF(Bordero!B35="","",Bordero!$C$4)</f>
        <v/>
      </c>
      <c r="N28" s="42" t="str">
        <f>IF(Bordero!B35="","","sim")</f>
        <v/>
      </c>
      <c r="O28" s="42" t="str">
        <f>IF(Bordero!B35="","","duplicata")</f>
        <v/>
      </c>
      <c r="P28" s="135" t="str">
        <f t="shared" si="0"/>
        <v/>
      </c>
      <c r="Q28" s="47" t="str">
        <f>IF(Bordero!B35="","",(1-(((Bordero!$I$6)+1)^R28))*F28*-1)</f>
        <v/>
      </c>
      <c r="R28" s="33" t="str">
        <f>IF(Bordero!B35="","",(X28-Bordero!$H$1)/30)</f>
        <v/>
      </c>
      <c r="S28" s="45" t="str">
        <f>Bordero!$C$5</f>
        <v>Gustavo Oliveira</v>
      </c>
      <c r="T28" s="45" t="str">
        <f>REPLACE(Bordero!$E$3,3,50,"")</f>
        <v>Co</v>
      </c>
      <c r="U28" t="str">
        <f t="shared" si="1"/>
        <v>Gustavo Oliveira/Co/</v>
      </c>
      <c r="W28">
        <f t="shared" si="2"/>
        <v>7</v>
      </c>
      <c r="X28" s="9" t="e">
        <f t="shared" si="3"/>
        <v>#VALUE!</v>
      </c>
    </row>
    <row r="29" spans="1:24">
      <c r="A29" s="39" t="str">
        <f>IF(Bordero!B36="","",IF(Bordero!$G$3="Product",Bordero!J36,Bordero!D36))</f>
        <v/>
      </c>
      <c r="B29" s="39" t="str">
        <f>IF(Bordero!B36="","",Bordero!D36)</f>
        <v/>
      </c>
      <c r="C29" s="39" t="str">
        <f>IF(Bordero!B36="","",U29)</f>
        <v/>
      </c>
      <c r="D29" s="40" t="str">
        <f>IF(Bordero!B36="","",Bordero!$G$3)</f>
        <v/>
      </c>
      <c r="E29" s="22" t="str">
        <f>IF(Bordero!B36="","",(F29-Q29-Simulador!$H$6))</f>
        <v/>
      </c>
      <c r="F29" s="22" t="str">
        <f>IF(Bordero!B36="","",Bordero!I36)</f>
        <v/>
      </c>
      <c r="G29" s="16" t="str">
        <f>IF(Bordero!B36="","",Bordero!F36)</f>
        <v/>
      </c>
      <c r="H29" s="16" t="str">
        <f>IF(Bordero!B36="","",Bordero!E36)</f>
        <v/>
      </c>
      <c r="I29" s="41" t="str">
        <f>IF(Bordero!B36="","",Bordero!B36)</f>
        <v/>
      </c>
      <c r="J29" s="40" t="str">
        <f>IF(Bordero!B36="","",Bordero!C36)</f>
        <v/>
      </c>
      <c r="K29" s="42" t="str">
        <f>IF(Bordero!B36="","",Bordero!K36)</f>
        <v/>
      </c>
      <c r="L29" s="134" t="str">
        <f>IF(Bordero!B36="","",Bordero!$C$3)</f>
        <v/>
      </c>
      <c r="M29" s="43" t="str">
        <f>IF(Bordero!B36="","",Bordero!$C$4)</f>
        <v/>
      </c>
      <c r="N29" s="42" t="str">
        <f>IF(Bordero!B36="","","sim")</f>
        <v/>
      </c>
      <c r="O29" s="42" t="str">
        <f>IF(Bordero!B36="","","duplicata")</f>
        <v/>
      </c>
      <c r="P29" s="135" t="str">
        <f t="shared" si="0"/>
        <v/>
      </c>
      <c r="Q29" s="47" t="str">
        <f>IF(Bordero!B36="","",(1-(((Bordero!$I$6)+1)^R29))*F29*-1)</f>
        <v/>
      </c>
      <c r="R29" s="33" t="str">
        <f>IF(Bordero!B36="","",(X29-Bordero!$H$1)/30)</f>
        <v/>
      </c>
      <c r="S29" s="45" t="str">
        <f>Bordero!$C$5</f>
        <v>Gustavo Oliveira</v>
      </c>
      <c r="T29" s="45" t="str">
        <f>REPLACE(Bordero!$E$3,3,50,"")</f>
        <v>Co</v>
      </c>
      <c r="U29" t="str">
        <f t="shared" si="1"/>
        <v>Gustavo Oliveira/Co/</v>
      </c>
      <c r="W29">
        <f t="shared" si="2"/>
        <v>7</v>
      </c>
      <c r="X29" s="9" t="e">
        <f t="shared" si="3"/>
        <v>#VALUE!</v>
      </c>
    </row>
    <row r="30" spans="1:24">
      <c r="A30" s="39" t="str">
        <f>IF(Bordero!B37="","",IF(Bordero!$G$3="Product",Bordero!J37,Bordero!D37))</f>
        <v/>
      </c>
      <c r="B30" s="39" t="str">
        <f>IF(Bordero!B37="","",Bordero!D37)</f>
        <v/>
      </c>
      <c r="C30" s="39" t="str">
        <f>IF(Bordero!B37="","",U30)</f>
        <v/>
      </c>
      <c r="D30" s="40" t="str">
        <f>IF(Bordero!B37="","",Bordero!$G$3)</f>
        <v/>
      </c>
      <c r="E30" s="22" t="str">
        <f>IF(Bordero!B37="","",(F30-Q30-Simulador!$H$6))</f>
        <v/>
      </c>
      <c r="F30" s="22" t="str">
        <f>IF(Bordero!B37="","",Bordero!I37)</f>
        <v/>
      </c>
      <c r="G30" s="16" t="str">
        <f>IF(Bordero!B37="","",Bordero!F37)</f>
        <v/>
      </c>
      <c r="H30" s="16" t="str">
        <f>IF(Bordero!B37="","",Bordero!E37)</f>
        <v/>
      </c>
      <c r="I30" s="41" t="str">
        <f>IF(Bordero!B37="","",Bordero!B37)</f>
        <v/>
      </c>
      <c r="J30" s="40" t="str">
        <f>IF(Bordero!B37="","",Bordero!C37)</f>
        <v/>
      </c>
      <c r="K30" s="42" t="str">
        <f>IF(Bordero!B37="","",Bordero!K37)</f>
        <v/>
      </c>
      <c r="L30" s="134" t="str">
        <f>IF(Bordero!B37="","",Bordero!$C$3)</f>
        <v/>
      </c>
      <c r="M30" s="43" t="str">
        <f>IF(Bordero!B37="","",Bordero!$C$4)</f>
        <v/>
      </c>
      <c r="N30" s="42" t="str">
        <f>IF(Bordero!B37="","","sim")</f>
        <v/>
      </c>
      <c r="O30" s="42" t="str">
        <f>IF(Bordero!B37="","","duplicata")</f>
        <v/>
      </c>
      <c r="P30" s="135" t="str">
        <f t="shared" si="0"/>
        <v/>
      </c>
      <c r="Q30" s="47" t="str">
        <f>IF(Bordero!B37="","",(1-(((Bordero!$I$6)+1)^R30))*F30*-1)</f>
        <v/>
      </c>
      <c r="R30" s="33" t="str">
        <f>IF(Bordero!B37="","",(X30-Bordero!$H$1)/30)</f>
        <v/>
      </c>
      <c r="S30" s="45" t="str">
        <f>Bordero!$C$5</f>
        <v>Gustavo Oliveira</v>
      </c>
      <c r="T30" s="45" t="str">
        <f>REPLACE(Bordero!$E$3,3,50,"")</f>
        <v>Co</v>
      </c>
      <c r="U30" t="str">
        <f t="shared" si="1"/>
        <v>Gustavo Oliveira/Co/</v>
      </c>
      <c r="W30">
        <f t="shared" si="2"/>
        <v>7</v>
      </c>
      <c r="X30" s="9" t="e">
        <f t="shared" si="3"/>
        <v>#VALUE!</v>
      </c>
    </row>
    <row r="31" spans="1:24">
      <c r="A31" s="39" t="str">
        <f>IF(Bordero!B38="","",IF(Bordero!$G$3="Product",Bordero!J38,Bordero!D38))</f>
        <v/>
      </c>
      <c r="B31" s="39" t="str">
        <f>IF(Bordero!B38="","",Bordero!D38)</f>
        <v/>
      </c>
      <c r="C31" s="39" t="str">
        <f>IF(Bordero!B38="","",U31)</f>
        <v/>
      </c>
      <c r="D31" s="40" t="str">
        <f>IF(Bordero!B38="","",Bordero!$G$3)</f>
        <v/>
      </c>
      <c r="E31" s="22" t="str">
        <f>IF(Bordero!B38="","",(F31-Q31-Simulador!$H$6))</f>
        <v/>
      </c>
      <c r="F31" s="22" t="str">
        <f>IF(Bordero!B38="","",Bordero!I38)</f>
        <v/>
      </c>
      <c r="G31" s="16" t="str">
        <f>IF(Bordero!B38="","",Bordero!F38)</f>
        <v/>
      </c>
      <c r="H31" s="16" t="str">
        <f>IF(Bordero!B38="","",Bordero!E38)</f>
        <v/>
      </c>
      <c r="I31" s="41" t="str">
        <f>IF(Bordero!B38="","",Bordero!B38)</f>
        <v/>
      </c>
      <c r="J31" s="40" t="str">
        <f>IF(Bordero!B38="","",Bordero!C38)</f>
        <v/>
      </c>
      <c r="K31" s="42" t="str">
        <f>IF(Bordero!B38="","",Bordero!K38)</f>
        <v/>
      </c>
      <c r="L31" s="134" t="str">
        <f>IF(Bordero!B38="","",Bordero!$C$3)</f>
        <v/>
      </c>
      <c r="M31" s="43" t="str">
        <f>IF(Bordero!B38="","",Bordero!$C$4)</f>
        <v/>
      </c>
      <c r="N31" s="42" t="str">
        <f>IF(Bordero!B38="","","sim")</f>
        <v/>
      </c>
      <c r="O31" s="42" t="str">
        <f>IF(Bordero!B38="","","duplicata")</f>
        <v/>
      </c>
      <c r="P31" s="135" t="str">
        <f t="shared" si="0"/>
        <v/>
      </c>
      <c r="Q31" s="47" t="str">
        <f>IF(Bordero!B38="","",(1-(((Bordero!$I$6)+1)^R31))*F31*-1)</f>
        <v/>
      </c>
      <c r="R31" s="33" t="str">
        <f>IF(Bordero!B38="","",(X31-Bordero!$H$1)/30)</f>
        <v/>
      </c>
      <c r="S31" s="45" t="str">
        <f>Bordero!$C$5</f>
        <v>Gustavo Oliveira</v>
      </c>
      <c r="T31" s="45" t="str">
        <f>REPLACE(Bordero!$E$3,3,50,"")</f>
        <v>Co</v>
      </c>
      <c r="U31" t="str">
        <f t="shared" si="1"/>
        <v>Gustavo Oliveira/Co/</v>
      </c>
      <c r="W31">
        <f t="shared" si="2"/>
        <v>7</v>
      </c>
      <c r="X31" s="9" t="e">
        <f t="shared" si="3"/>
        <v>#VALUE!</v>
      </c>
    </row>
    <row r="32" spans="1:24">
      <c r="A32" s="39" t="str">
        <f>IF(Bordero!B39="","",IF(Bordero!$G$3="Product",Bordero!J39,Bordero!D39))</f>
        <v/>
      </c>
      <c r="B32" s="39" t="str">
        <f>IF(Bordero!B39="","",Bordero!D39)</f>
        <v/>
      </c>
      <c r="C32" s="39" t="str">
        <f>IF(Bordero!B39="","",U32)</f>
        <v/>
      </c>
      <c r="D32" s="40" t="str">
        <f>IF(Bordero!B39="","",Bordero!$G$3)</f>
        <v/>
      </c>
      <c r="E32" s="22" t="str">
        <f>IF(Bordero!B39="","",(F32-Q32-Simulador!$H$6))</f>
        <v/>
      </c>
      <c r="F32" s="22" t="str">
        <f>IF(Bordero!B39="","",Bordero!I39)</f>
        <v/>
      </c>
      <c r="G32" s="16" t="str">
        <f>IF(Bordero!B39="","",Bordero!F39)</f>
        <v/>
      </c>
      <c r="H32" s="16" t="str">
        <f>IF(Bordero!B39="","",Bordero!E39)</f>
        <v/>
      </c>
      <c r="I32" s="41" t="str">
        <f>IF(Bordero!B39="","",Bordero!B39)</f>
        <v/>
      </c>
      <c r="J32" s="40" t="str">
        <f>IF(Bordero!B39="","",Bordero!C39)</f>
        <v/>
      </c>
      <c r="K32" s="42" t="str">
        <f>IF(Bordero!B39="","",Bordero!K39)</f>
        <v/>
      </c>
      <c r="L32" s="134" t="str">
        <f>IF(Bordero!B39="","",Bordero!$C$3)</f>
        <v/>
      </c>
      <c r="M32" s="43" t="str">
        <f>IF(Bordero!B39="","",Bordero!$C$4)</f>
        <v/>
      </c>
      <c r="N32" s="42" t="str">
        <f>IF(Bordero!B39="","","sim")</f>
        <v/>
      </c>
      <c r="O32" s="42" t="str">
        <f>IF(Bordero!B39="","","duplicata")</f>
        <v/>
      </c>
      <c r="P32" s="135" t="str">
        <f t="shared" si="0"/>
        <v/>
      </c>
      <c r="Q32" s="47" t="str">
        <f>IF(Bordero!B39="","",(1-(((Bordero!$I$6)+1)^R32))*F32*-1)</f>
        <v/>
      </c>
      <c r="R32" s="33" t="str">
        <f>IF(Bordero!B39="","",(X32-Bordero!$H$1)/30)</f>
        <v/>
      </c>
      <c r="S32" s="45" t="str">
        <f>Bordero!$C$5</f>
        <v>Gustavo Oliveira</v>
      </c>
      <c r="T32" s="45" t="str">
        <f>REPLACE(Bordero!$E$3,3,50,"")</f>
        <v>Co</v>
      </c>
      <c r="U32" t="str">
        <f t="shared" si="1"/>
        <v>Gustavo Oliveira/Co/</v>
      </c>
      <c r="W32">
        <f t="shared" si="2"/>
        <v>7</v>
      </c>
      <c r="X32" s="9" t="e">
        <f t="shared" si="3"/>
        <v>#VALUE!</v>
      </c>
    </row>
    <row r="33" spans="1:24">
      <c r="A33" s="39" t="str">
        <f>IF(Bordero!B40="","",IF(Bordero!$G$3="Product",Bordero!J40,Bordero!D40))</f>
        <v/>
      </c>
      <c r="B33" s="39" t="str">
        <f>IF(Bordero!B40="","",Bordero!D40)</f>
        <v/>
      </c>
      <c r="C33" s="39" t="str">
        <f>IF(Bordero!B40="","",U33)</f>
        <v/>
      </c>
      <c r="D33" s="40" t="str">
        <f>IF(Bordero!B40="","",Bordero!$G$3)</f>
        <v/>
      </c>
      <c r="E33" s="22" t="str">
        <f>IF(Bordero!B40="","",(F33-Q33-Simulador!$H$6))</f>
        <v/>
      </c>
      <c r="F33" s="22" t="str">
        <f>IF(Bordero!B40="","",Bordero!I40)</f>
        <v/>
      </c>
      <c r="G33" s="16" t="str">
        <f>IF(Bordero!B40="","",Bordero!F40)</f>
        <v/>
      </c>
      <c r="H33" s="16" t="str">
        <f>IF(Bordero!B40="","",Bordero!E40)</f>
        <v/>
      </c>
      <c r="I33" s="41" t="str">
        <f>IF(Bordero!B40="","",Bordero!B40)</f>
        <v/>
      </c>
      <c r="J33" s="40" t="str">
        <f>IF(Bordero!B40="","",Bordero!C40)</f>
        <v/>
      </c>
      <c r="K33" s="42" t="str">
        <f>IF(Bordero!B40="","",Bordero!K40)</f>
        <v/>
      </c>
      <c r="L33" s="134" t="str">
        <f>IF(Bordero!B40="","",Bordero!$C$3)</f>
        <v/>
      </c>
      <c r="M33" s="43" t="str">
        <f>IF(Bordero!B40="","",Bordero!$C$4)</f>
        <v/>
      </c>
      <c r="N33" s="42" t="str">
        <f>IF(Bordero!B40="","","sim")</f>
        <v/>
      </c>
      <c r="O33" s="42" t="str">
        <f>IF(Bordero!B40="","","duplicata")</f>
        <v/>
      </c>
      <c r="P33" s="135" t="str">
        <f t="shared" si="0"/>
        <v/>
      </c>
      <c r="Q33" s="47" t="str">
        <f>IF(Bordero!B40="","",(1-(((Bordero!$I$6)+1)^R33))*F33*-1)</f>
        <v/>
      </c>
      <c r="R33" s="33" t="str">
        <f>IF(Bordero!B40="","",(X33-Bordero!$H$1)/30)</f>
        <v/>
      </c>
      <c r="S33" s="45" t="str">
        <f>Bordero!$C$5</f>
        <v>Gustavo Oliveira</v>
      </c>
      <c r="T33" s="45" t="str">
        <f>REPLACE(Bordero!$E$3,3,50,"")</f>
        <v>Co</v>
      </c>
      <c r="U33" t="str">
        <f t="shared" si="1"/>
        <v>Gustavo Oliveira/Co/</v>
      </c>
      <c r="W33">
        <f t="shared" si="2"/>
        <v>7</v>
      </c>
      <c r="X33" s="9" t="e">
        <f t="shared" si="3"/>
        <v>#VALUE!</v>
      </c>
    </row>
    <row r="34" spans="1:24">
      <c r="A34" s="39" t="str">
        <f>IF(Bordero!B41="","",IF(Bordero!$G$3="Product",Bordero!J41,Bordero!D41))</f>
        <v/>
      </c>
      <c r="B34" s="39" t="str">
        <f>IF(Bordero!B41="","",Bordero!D41)</f>
        <v/>
      </c>
      <c r="C34" s="39" t="str">
        <f>IF(Bordero!B41="","",U34)</f>
        <v/>
      </c>
      <c r="D34" s="40" t="str">
        <f>IF(Bordero!B41="","",Bordero!$G$3)</f>
        <v/>
      </c>
      <c r="E34" s="22" t="str">
        <f>IF(Bordero!B41="","",(F34-Q34-Simulador!$H$6))</f>
        <v/>
      </c>
      <c r="F34" s="22" t="str">
        <f>IF(Bordero!B41="","",Bordero!I41)</f>
        <v/>
      </c>
      <c r="G34" s="16" t="str">
        <f>IF(Bordero!B41="","",Bordero!F41)</f>
        <v/>
      </c>
      <c r="H34" s="16" t="str">
        <f>IF(Bordero!B41="","",Bordero!E41)</f>
        <v/>
      </c>
      <c r="I34" s="41" t="str">
        <f>IF(Bordero!B41="","",Bordero!B41)</f>
        <v/>
      </c>
      <c r="J34" s="40" t="str">
        <f>IF(Bordero!B41="","",Bordero!C41)</f>
        <v/>
      </c>
      <c r="K34" s="42" t="str">
        <f>IF(Bordero!B41="","",Bordero!K41)</f>
        <v/>
      </c>
      <c r="L34" s="134" t="str">
        <f>IF(Bordero!B41="","",Bordero!$C$3)</f>
        <v/>
      </c>
      <c r="M34" s="43" t="str">
        <f>IF(Bordero!B41="","",Bordero!$C$4)</f>
        <v/>
      </c>
      <c r="N34" s="42" t="str">
        <f>IF(Bordero!B41="","","sim")</f>
        <v/>
      </c>
      <c r="O34" s="42" t="str">
        <f>IF(Bordero!B41="","","duplicata")</f>
        <v/>
      </c>
      <c r="P34" s="135" t="str">
        <f t="shared" si="0"/>
        <v/>
      </c>
      <c r="Q34" s="47" t="str">
        <f>IF(Bordero!B41="","",(1-(((Bordero!$I$6)+1)^R34))*F34*-1)</f>
        <v/>
      </c>
      <c r="R34" s="33" t="str">
        <f>IF(Bordero!B41="","",(X34-Bordero!$H$1)/30)</f>
        <v/>
      </c>
      <c r="S34" s="45" t="str">
        <f>Bordero!$C$5</f>
        <v>Gustavo Oliveira</v>
      </c>
      <c r="T34" s="45" t="str">
        <f>REPLACE(Bordero!$E$3,3,50,"")</f>
        <v>Co</v>
      </c>
      <c r="U34" t="str">
        <f t="shared" si="1"/>
        <v>Gustavo Oliveira/Co/</v>
      </c>
      <c r="W34">
        <f t="shared" si="2"/>
        <v>7</v>
      </c>
      <c r="X34" s="9" t="e">
        <f t="shared" si="3"/>
        <v>#VALUE!</v>
      </c>
    </row>
    <row r="35" spans="1:24">
      <c r="A35" s="39" t="str">
        <f>IF(Bordero!B42="","",IF(Bordero!$G$3="Product",Bordero!J42,Bordero!D42))</f>
        <v/>
      </c>
      <c r="B35" s="39" t="str">
        <f>IF(Bordero!B42="","",Bordero!D42)</f>
        <v/>
      </c>
      <c r="C35" s="39" t="str">
        <f>IF(Bordero!B42="","",U35)</f>
        <v/>
      </c>
      <c r="D35" s="40" t="str">
        <f>IF(Bordero!B42="","",Bordero!$G$3)</f>
        <v/>
      </c>
      <c r="E35" s="22" t="str">
        <f>IF(Bordero!B42="","",(F35-Q35-Simulador!$H$6))</f>
        <v/>
      </c>
      <c r="F35" s="22" t="str">
        <f>IF(Bordero!B42="","",Bordero!I42)</f>
        <v/>
      </c>
      <c r="G35" s="16" t="str">
        <f>IF(Bordero!B42="","",Bordero!F42)</f>
        <v/>
      </c>
      <c r="H35" s="16" t="str">
        <f>IF(Bordero!B42="","",Bordero!E42)</f>
        <v/>
      </c>
      <c r="I35" s="41" t="str">
        <f>IF(Bordero!B42="","",Bordero!B42)</f>
        <v/>
      </c>
      <c r="J35" s="40" t="str">
        <f>IF(Bordero!B42="","",Bordero!C42)</f>
        <v/>
      </c>
      <c r="K35" s="42" t="str">
        <f>IF(Bordero!B42="","",Bordero!K42)</f>
        <v/>
      </c>
      <c r="L35" s="134" t="str">
        <f>IF(Bordero!B42="","",Bordero!$C$3)</f>
        <v/>
      </c>
      <c r="M35" s="43" t="str">
        <f>IF(Bordero!B42="","",Bordero!$C$4)</f>
        <v/>
      </c>
      <c r="N35" s="42" t="str">
        <f>IF(Bordero!B42="","","sim")</f>
        <v/>
      </c>
      <c r="O35" s="42" t="str">
        <f>IF(Bordero!B42="","","duplicata")</f>
        <v/>
      </c>
      <c r="P35" s="135" t="str">
        <f t="shared" si="0"/>
        <v/>
      </c>
      <c r="Q35" s="47" t="str">
        <f>IF(Bordero!B42="","",(1-(((Bordero!$I$6)+1)^R35))*F35*-1)</f>
        <v/>
      </c>
      <c r="R35" s="33" t="str">
        <f>IF(Bordero!B42="","",(X35-Bordero!$H$1)/30)</f>
        <v/>
      </c>
      <c r="S35" s="45" t="str">
        <f>Bordero!$C$5</f>
        <v>Gustavo Oliveira</v>
      </c>
      <c r="T35" s="45" t="str">
        <f>REPLACE(Bordero!$E$3,3,50,"")</f>
        <v>Co</v>
      </c>
      <c r="U35" t="str">
        <f t="shared" si="1"/>
        <v>Gustavo Oliveira/Co/</v>
      </c>
      <c r="W35">
        <f t="shared" si="2"/>
        <v>7</v>
      </c>
      <c r="X35" s="9" t="e">
        <f t="shared" si="3"/>
        <v>#VALUE!</v>
      </c>
    </row>
    <row r="36" spans="1:24">
      <c r="A36" s="39" t="str">
        <f>IF(Bordero!B43="","",IF(Bordero!$G$3="Product",Bordero!J43,Bordero!D43))</f>
        <v/>
      </c>
      <c r="B36" s="39" t="str">
        <f>IF(Bordero!B43="","",Bordero!D43)</f>
        <v/>
      </c>
      <c r="C36" s="39" t="str">
        <f>IF(Bordero!B43="","",U36)</f>
        <v/>
      </c>
      <c r="D36" s="40" t="str">
        <f>IF(Bordero!B43="","",Bordero!$G$3)</f>
        <v/>
      </c>
      <c r="E36" s="22" t="str">
        <f>IF(Bordero!B43="","",(F36-Q36-Simulador!$H$6))</f>
        <v/>
      </c>
      <c r="F36" s="22" t="str">
        <f>IF(Bordero!B43="","",Bordero!I43)</f>
        <v/>
      </c>
      <c r="G36" s="16" t="str">
        <f>IF(Bordero!B43="","",Bordero!F43)</f>
        <v/>
      </c>
      <c r="H36" s="16" t="str">
        <f>IF(Bordero!B43="","",Bordero!E43)</f>
        <v/>
      </c>
      <c r="I36" s="41" t="str">
        <f>IF(Bordero!B43="","",Bordero!B43)</f>
        <v/>
      </c>
      <c r="J36" s="40" t="str">
        <f>IF(Bordero!B43="","",Bordero!C43)</f>
        <v/>
      </c>
      <c r="K36" s="42" t="str">
        <f>IF(Bordero!B43="","",Bordero!K43)</f>
        <v/>
      </c>
      <c r="L36" s="134" t="str">
        <f>IF(Bordero!B43="","",Bordero!$C$3)</f>
        <v/>
      </c>
      <c r="M36" s="43" t="str">
        <f>IF(Bordero!B43="","",Bordero!$C$4)</f>
        <v/>
      </c>
      <c r="N36" s="42" t="str">
        <f>IF(Bordero!B43="","","sim")</f>
        <v/>
      </c>
      <c r="O36" s="42" t="str">
        <f>IF(Bordero!B43="","","duplicata")</f>
        <v/>
      </c>
      <c r="P36" s="135" t="str">
        <f t="shared" ref="P36" si="4">L36</f>
        <v/>
      </c>
      <c r="Q36" s="47" t="str">
        <f>IF(Bordero!B43="","",(1-(((Bordero!$I$6)+1)^R36))*F36*-1)</f>
        <v/>
      </c>
      <c r="R36" s="33" t="str">
        <f>IF(Bordero!B43="","",(X36-Bordero!$H$1)/30)</f>
        <v/>
      </c>
      <c r="S36" s="45" t="str">
        <f>Bordero!$C$5</f>
        <v>Gustavo Oliveira</v>
      </c>
      <c r="T36" s="45" t="str">
        <f>REPLACE(Bordero!$E$3,3,50,"")</f>
        <v>Co</v>
      </c>
      <c r="U36" t="str">
        <f t="shared" si="1"/>
        <v>Gustavo Oliveira/Co/</v>
      </c>
      <c r="W36">
        <f t="shared" si="2"/>
        <v>7</v>
      </c>
      <c r="X36" s="9" t="e">
        <f t="shared" si="3"/>
        <v>#VALUE!</v>
      </c>
    </row>
    <row r="37" spans="1:24">
      <c r="A37" s="39" t="str">
        <f>IF(Bordero!B44="","",IF(Bordero!$G$3="Product",Bordero!J44,Bordero!D44))</f>
        <v/>
      </c>
      <c r="B37" s="39" t="str">
        <f>IF(Bordero!B44="","",Bordero!D44)</f>
        <v/>
      </c>
      <c r="C37" s="39" t="str">
        <f>IF(Bordero!B44="","",U37)</f>
        <v/>
      </c>
      <c r="D37" s="40" t="str">
        <f>IF(Bordero!B44="","",Bordero!$G$3)</f>
        <v/>
      </c>
      <c r="E37" s="22" t="str">
        <f>IF(Bordero!B44="","",(F37-Q37-Simulador!$H$6))</f>
        <v/>
      </c>
      <c r="F37" s="22" t="str">
        <f>IF(Bordero!B44="","",Bordero!I44)</f>
        <v/>
      </c>
      <c r="G37" s="16" t="str">
        <f>IF(Bordero!B44="","",Bordero!F44)</f>
        <v/>
      </c>
      <c r="H37" s="16" t="str">
        <f>IF(Bordero!B44="","",Bordero!E44)</f>
        <v/>
      </c>
      <c r="I37" s="41" t="str">
        <f>IF(Bordero!B44="","",Bordero!B44)</f>
        <v/>
      </c>
      <c r="J37" s="40" t="str">
        <f>IF(Bordero!B44="","",Bordero!C44)</f>
        <v/>
      </c>
      <c r="K37" s="42" t="str">
        <f>IF(Bordero!B44="","",Bordero!K44)</f>
        <v/>
      </c>
      <c r="L37" s="134" t="str">
        <f>IF(Bordero!B44="","",Bordero!$C$3)</f>
        <v/>
      </c>
      <c r="M37" s="43" t="str">
        <f>IF(Bordero!B44="","",Bordero!$C$4)</f>
        <v/>
      </c>
      <c r="N37" s="42" t="str">
        <f>IF(Bordero!B44="","","sim")</f>
        <v/>
      </c>
      <c r="O37" s="42" t="str">
        <f>IF(Bordero!B44="","","duplicata")</f>
        <v/>
      </c>
      <c r="P37" s="135" t="str">
        <f t="shared" ref="P37:P100" si="5">L37</f>
        <v/>
      </c>
      <c r="Q37" s="47" t="str">
        <f>IF(Bordero!B44="","",(1-(((Bordero!$I$6)+1)^R37))*F37*-1)</f>
        <v/>
      </c>
      <c r="R37" s="33" t="str">
        <f>IF(Bordero!B44="","",(X37-Bordero!$H$1)/30)</f>
        <v/>
      </c>
      <c r="S37" s="45" t="str">
        <f>Bordero!$C$5</f>
        <v>Gustavo Oliveira</v>
      </c>
      <c r="T37" s="45" t="str">
        <f>REPLACE(Bordero!$E$3,3,50,"")</f>
        <v>Co</v>
      </c>
      <c r="U37" t="str">
        <f t="shared" si="1"/>
        <v>Gustavo Oliveira/Co/</v>
      </c>
      <c r="W37">
        <f t="shared" ref="W37:W100" si="6">WEEKDAY(V37,1)</f>
        <v>7</v>
      </c>
      <c r="X37" s="9" t="e">
        <f t="shared" ref="X37:X100" si="7">IF(G37=1,G37+2,IF(G37=7,G37+3,G37+1))</f>
        <v>#VALUE!</v>
      </c>
    </row>
    <row r="38" spans="1:24">
      <c r="A38" s="39" t="str">
        <f>IF(Bordero!B45="","",IF(Bordero!$G$3="Product",Bordero!J45,Bordero!D45))</f>
        <v/>
      </c>
      <c r="B38" s="39" t="str">
        <f>IF(Bordero!B45="","",Bordero!D45)</f>
        <v/>
      </c>
      <c r="C38" s="39" t="str">
        <f>IF(Bordero!B45="","",U38)</f>
        <v/>
      </c>
      <c r="D38" s="40" t="str">
        <f>IF(Bordero!B45="","",Bordero!$G$3)</f>
        <v/>
      </c>
      <c r="E38" s="22" t="str">
        <f>IF(Bordero!B45="","",(F38-Q38-Simulador!$H$6))</f>
        <v/>
      </c>
      <c r="F38" s="22" t="str">
        <f>IF(Bordero!B45="","",Bordero!I45)</f>
        <v/>
      </c>
      <c r="G38" s="16" t="str">
        <f>IF(Bordero!B45="","",Bordero!F45)</f>
        <v/>
      </c>
      <c r="H38" s="16" t="str">
        <f>IF(Bordero!B45="","",Bordero!E45)</f>
        <v/>
      </c>
      <c r="I38" s="41" t="str">
        <f>IF(Bordero!B45="","",Bordero!B45)</f>
        <v/>
      </c>
      <c r="J38" s="40" t="str">
        <f>IF(Bordero!B45="","",Bordero!C45)</f>
        <v/>
      </c>
      <c r="K38" s="42" t="str">
        <f>IF(Bordero!B45="","",Bordero!K45)</f>
        <v/>
      </c>
      <c r="L38" s="134" t="str">
        <f>IF(Bordero!B45="","",Bordero!$C$3)</f>
        <v/>
      </c>
      <c r="M38" s="43" t="str">
        <f>IF(Bordero!B45="","",Bordero!$C$4)</f>
        <v/>
      </c>
      <c r="N38" s="42" t="str">
        <f>IF(Bordero!B45="","","sim")</f>
        <v/>
      </c>
      <c r="O38" s="42" t="str">
        <f>IF(Bordero!B45="","","duplicata")</f>
        <v/>
      </c>
      <c r="P38" s="135" t="str">
        <f t="shared" si="5"/>
        <v/>
      </c>
      <c r="Q38" s="47" t="str">
        <f>IF(Bordero!B45="","",(1-(((Bordero!$I$6)+1)^R38))*F38*-1)</f>
        <v/>
      </c>
      <c r="R38" s="33" t="str">
        <f>IF(Bordero!B45="","",(X38-Bordero!$H$1)/30)</f>
        <v/>
      </c>
      <c r="S38" s="45" t="str">
        <f>Bordero!$C$5</f>
        <v>Gustavo Oliveira</v>
      </c>
      <c r="T38" s="45" t="str">
        <f>REPLACE(Bordero!$E$3,3,50,"")</f>
        <v>Co</v>
      </c>
      <c r="U38" t="str">
        <f t="shared" si="1"/>
        <v>Gustavo Oliveira/Co/</v>
      </c>
      <c r="W38">
        <f t="shared" si="6"/>
        <v>7</v>
      </c>
      <c r="X38" s="9" t="e">
        <f t="shared" si="7"/>
        <v>#VALUE!</v>
      </c>
    </row>
    <row r="39" spans="1:24">
      <c r="A39" s="39" t="str">
        <f>IF(Bordero!B46="","",IF(Bordero!$G$3="Product",Bordero!J46,Bordero!D46))</f>
        <v/>
      </c>
      <c r="B39" s="39" t="str">
        <f>IF(Bordero!B46="","",Bordero!D46)</f>
        <v/>
      </c>
      <c r="C39" s="39" t="str">
        <f>IF(Bordero!B46="","",U39)</f>
        <v/>
      </c>
      <c r="D39" s="40" t="str">
        <f>IF(Bordero!B46="","",Bordero!$G$3)</f>
        <v/>
      </c>
      <c r="E39" s="22" t="str">
        <f>IF(Bordero!B46="","",(F39-Q39-Simulador!$H$6))</f>
        <v/>
      </c>
      <c r="F39" s="22" t="str">
        <f>IF(Bordero!B46="","",Bordero!I46)</f>
        <v/>
      </c>
      <c r="G39" s="16" t="str">
        <f>IF(Bordero!B46="","",Bordero!F46)</f>
        <v/>
      </c>
      <c r="H39" s="16" t="str">
        <f>IF(Bordero!B46="","",Bordero!E46)</f>
        <v/>
      </c>
      <c r="I39" s="41" t="str">
        <f>IF(Bordero!B46="","",Bordero!B46)</f>
        <v/>
      </c>
      <c r="J39" s="40" t="str">
        <f>IF(Bordero!B46="","",Bordero!C46)</f>
        <v/>
      </c>
      <c r="K39" s="42" t="str">
        <f>IF(Bordero!B46="","",Bordero!K46)</f>
        <v/>
      </c>
      <c r="L39" s="134" t="str">
        <f>IF(Bordero!B46="","",Bordero!$C$3)</f>
        <v/>
      </c>
      <c r="M39" s="43" t="str">
        <f>IF(Bordero!B46="","",Bordero!$C$4)</f>
        <v/>
      </c>
      <c r="N39" s="42" t="str">
        <f>IF(Bordero!B46="","","sim")</f>
        <v/>
      </c>
      <c r="O39" s="42" t="str">
        <f>IF(Bordero!B46="","","duplicata")</f>
        <v/>
      </c>
      <c r="P39" s="135" t="str">
        <f t="shared" si="5"/>
        <v/>
      </c>
      <c r="Q39" s="47" t="str">
        <f>IF(Bordero!B46="","",(1-(((Bordero!$I$6)+1)^R39))*F39*-1)</f>
        <v/>
      </c>
      <c r="R39" s="33" t="str">
        <f>IF(Bordero!B46="","",(X39-Bordero!$H$1)/30)</f>
        <v/>
      </c>
      <c r="S39" s="45" t="str">
        <f>Bordero!$C$5</f>
        <v>Gustavo Oliveira</v>
      </c>
      <c r="T39" s="45" t="str">
        <f>REPLACE(Bordero!$E$3,3,50,"")</f>
        <v>Co</v>
      </c>
      <c r="U39" t="str">
        <f t="shared" si="1"/>
        <v>Gustavo Oliveira/Co/</v>
      </c>
      <c r="W39">
        <f t="shared" si="6"/>
        <v>7</v>
      </c>
      <c r="X39" s="9" t="e">
        <f t="shared" si="7"/>
        <v>#VALUE!</v>
      </c>
    </row>
    <row r="40" spans="1:24">
      <c r="A40" s="39" t="str">
        <f>IF(Bordero!B47="","",IF(Bordero!$G$3="Product",Bordero!J47,Bordero!D47))</f>
        <v/>
      </c>
      <c r="B40" s="39" t="str">
        <f>IF(Bordero!B47="","",Bordero!D47)</f>
        <v/>
      </c>
      <c r="C40" s="39" t="str">
        <f>IF(Bordero!B47="","",U40)</f>
        <v/>
      </c>
      <c r="D40" s="40" t="str">
        <f>IF(Bordero!B47="","",Bordero!$G$3)</f>
        <v/>
      </c>
      <c r="E40" s="22" t="str">
        <f>IF(Bordero!B47="","",(F40-Q40-Simulador!$H$6))</f>
        <v/>
      </c>
      <c r="F40" s="22" t="str">
        <f>IF(Bordero!B47="","",Bordero!I47)</f>
        <v/>
      </c>
      <c r="G40" s="16" t="str">
        <f>IF(Bordero!B47="","",Bordero!F47)</f>
        <v/>
      </c>
      <c r="H40" s="16" t="str">
        <f>IF(Bordero!B47="","",Bordero!E47)</f>
        <v/>
      </c>
      <c r="I40" s="41" t="str">
        <f>IF(Bordero!B47="","",Bordero!B47)</f>
        <v/>
      </c>
      <c r="J40" s="40" t="str">
        <f>IF(Bordero!B47="","",Bordero!C47)</f>
        <v/>
      </c>
      <c r="K40" s="42" t="str">
        <f>IF(Bordero!B47="","",Bordero!K47)</f>
        <v/>
      </c>
      <c r="L40" s="134" t="str">
        <f>IF(Bordero!B47="","",Bordero!$C$3)</f>
        <v/>
      </c>
      <c r="M40" s="43" t="str">
        <f>IF(Bordero!B47="","",Bordero!$C$4)</f>
        <v/>
      </c>
      <c r="N40" s="42" t="str">
        <f>IF(Bordero!B47="","","sim")</f>
        <v/>
      </c>
      <c r="O40" s="42" t="str">
        <f>IF(Bordero!B47="","","duplicata")</f>
        <v/>
      </c>
      <c r="P40" s="135" t="str">
        <f t="shared" si="5"/>
        <v/>
      </c>
      <c r="Q40" s="47" t="str">
        <f>IF(Bordero!B47="","",(1-(((Bordero!$I$6)+1)^R40))*F40*-1)</f>
        <v/>
      </c>
      <c r="R40" s="33" t="str">
        <f>IF(Bordero!B47="","",(X40-Bordero!$H$1)/30)</f>
        <v/>
      </c>
      <c r="S40" s="45" t="str">
        <f>Bordero!$C$5</f>
        <v>Gustavo Oliveira</v>
      </c>
      <c r="T40" s="45" t="str">
        <f>REPLACE(Bordero!$E$3,3,50,"")</f>
        <v>Co</v>
      </c>
      <c r="U40" t="str">
        <f t="shared" si="1"/>
        <v>Gustavo Oliveira/Co/</v>
      </c>
      <c r="W40">
        <f t="shared" si="6"/>
        <v>7</v>
      </c>
      <c r="X40" s="9" t="e">
        <f t="shared" si="7"/>
        <v>#VALUE!</v>
      </c>
    </row>
    <row r="41" spans="1:24">
      <c r="A41" s="39" t="str">
        <f>IF(Bordero!B48="","",IF(Bordero!$G$3="Product",Bordero!J48,Bordero!D48))</f>
        <v/>
      </c>
      <c r="B41" s="39" t="str">
        <f>IF(Bordero!B48="","",Bordero!D48)</f>
        <v/>
      </c>
      <c r="C41" s="39" t="str">
        <f>IF(Bordero!B48="","",U41)</f>
        <v/>
      </c>
      <c r="D41" s="40" t="str">
        <f>IF(Bordero!B48="","",Bordero!$G$3)</f>
        <v/>
      </c>
      <c r="E41" s="22" t="str">
        <f>IF(Bordero!B48="","",(F41-Q41-Simulador!$H$6))</f>
        <v/>
      </c>
      <c r="F41" s="22" t="str">
        <f>IF(Bordero!B48="","",Bordero!I48)</f>
        <v/>
      </c>
      <c r="G41" s="16" t="str">
        <f>IF(Bordero!B48="","",Bordero!F48)</f>
        <v/>
      </c>
      <c r="H41" s="16" t="str">
        <f>IF(Bordero!B48="","",Bordero!E48)</f>
        <v/>
      </c>
      <c r="I41" s="41" t="str">
        <f>IF(Bordero!B48="","",Bordero!B48)</f>
        <v/>
      </c>
      <c r="J41" s="40" t="str">
        <f>IF(Bordero!B48="","",Bordero!C48)</f>
        <v/>
      </c>
      <c r="K41" s="42" t="str">
        <f>IF(Bordero!B48="","",Bordero!K48)</f>
        <v/>
      </c>
      <c r="L41" s="134" t="str">
        <f>IF(Bordero!B48="","",Bordero!$C$3)</f>
        <v/>
      </c>
      <c r="M41" s="43" t="str">
        <f>IF(Bordero!B48="","",Bordero!$C$4)</f>
        <v/>
      </c>
      <c r="N41" s="42" t="str">
        <f>IF(Bordero!B48="","","sim")</f>
        <v/>
      </c>
      <c r="O41" s="42" t="str">
        <f>IF(Bordero!B48="","","duplicata")</f>
        <v/>
      </c>
      <c r="P41" s="135" t="str">
        <f t="shared" si="5"/>
        <v/>
      </c>
      <c r="Q41" s="47" t="str">
        <f>IF(Bordero!B48="","",(1-(((Bordero!$I$6)+1)^R41))*F41*-1)</f>
        <v/>
      </c>
      <c r="R41" s="33" t="str">
        <f>IF(Bordero!B48="","",(X41-Bordero!$H$1)/30)</f>
        <v/>
      </c>
      <c r="S41" s="45" t="str">
        <f>Bordero!$C$5</f>
        <v>Gustavo Oliveira</v>
      </c>
      <c r="T41" s="45" t="str">
        <f>REPLACE(Bordero!$E$3,3,50,"")</f>
        <v>Co</v>
      </c>
      <c r="U41" t="str">
        <f t="shared" si="1"/>
        <v>Gustavo Oliveira/Co/</v>
      </c>
      <c r="W41">
        <f t="shared" si="6"/>
        <v>7</v>
      </c>
      <c r="X41" s="9" t="e">
        <f t="shared" si="7"/>
        <v>#VALUE!</v>
      </c>
    </row>
    <row r="42" spans="1:24">
      <c r="A42" s="39" t="str">
        <f>IF(Bordero!B49="","",IF(Bordero!$G$3="Product",Bordero!J49,Bordero!D49))</f>
        <v/>
      </c>
      <c r="B42" s="39" t="str">
        <f>IF(Bordero!B49="","",Bordero!D49)</f>
        <v/>
      </c>
      <c r="C42" s="39" t="str">
        <f>IF(Bordero!B49="","",U42)</f>
        <v/>
      </c>
      <c r="D42" s="40" t="str">
        <f>IF(Bordero!B49="","",Bordero!$G$3)</f>
        <v/>
      </c>
      <c r="E42" s="22" t="str">
        <f>IF(Bordero!B49="","",(F42-Q42-Simulador!$H$6))</f>
        <v/>
      </c>
      <c r="F42" s="22" t="str">
        <f>IF(Bordero!B49="","",Bordero!I49)</f>
        <v/>
      </c>
      <c r="G42" s="16" t="str">
        <f>IF(Bordero!B49="","",Bordero!F49)</f>
        <v/>
      </c>
      <c r="H42" s="16" t="str">
        <f>IF(Bordero!B49="","",Bordero!E49)</f>
        <v/>
      </c>
      <c r="I42" s="41" t="str">
        <f>IF(Bordero!B49="","",Bordero!B49)</f>
        <v/>
      </c>
      <c r="J42" s="40" t="str">
        <f>IF(Bordero!B49="","",Bordero!C49)</f>
        <v/>
      </c>
      <c r="K42" s="42" t="str">
        <f>IF(Bordero!B49="","",Bordero!K49)</f>
        <v/>
      </c>
      <c r="L42" s="134" t="str">
        <f>IF(Bordero!B49="","",Bordero!$C$3)</f>
        <v/>
      </c>
      <c r="M42" s="43" t="str">
        <f>IF(Bordero!B49="","",Bordero!$C$4)</f>
        <v/>
      </c>
      <c r="N42" s="42" t="str">
        <f>IF(Bordero!B49="","","sim")</f>
        <v/>
      </c>
      <c r="O42" s="42" t="str">
        <f>IF(Bordero!B49="","","duplicata")</f>
        <v/>
      </c>
      <c r="P42" s="135" t="str">
        <f t="shared" si="5"/>
        <v/>
      </c>
      <c r="Q42" s="47" t="str">
        <f>IF(Bordero!B49="","",(1-(((Bordero!$I$6)+1)^R42))*F42*-1)</f>
        <v/>
      </c>
      <c r="R42" s="33" t="str">
        <f>IF(Bordero!B49="","",(X42-Bordero!$H$1)/30)</f>
        <v/>
      </c>
      <c r="S42" s="45" t="str">
        <f>Bordero!$C$5</f>
        <v>Gustavo Oliveira</v>
      </c>
      <c r="T42" s="45" t="str">
        <f>REPLACE(Bordero!$E$3,3,50,"")</f>
        <v>Co</v>
      </c>
      <c r="U42" t="str">
        <f t="shared" si="1"/>
        <v>Gustavo Oliveira/Co/</v>
      </c>
      <c r="W42">
        <f t="shared" si="6"/>
        <v>7</v>
      </c>
      <c r="X42" s="9" t="e">
        <f t="shared" si="7"/>
        <v>#VALUE!</v>
      </c>
    </row>
    <row r="43" spans="1:24">
      <c r="A43" s="39" t="str">
        <f>IF(Bordero!B50="","",IF(Bordero!$G$3="Product",Bordero!J50,Bordero!D50))</f>
        <v/>
      </c>
      <c r="B43" s="39" t="str">
        <f>IF(Bordero!B50="","",Bordero!D50)</f>
        <v/>
      </c>
      <c r="C43" s="39" t="str">
        <f>IF(Bordero!B50="","",U43)</f>
        <v/>
      </c>
      <c r="D43" s="40" t="str">
        <f>IF(Bordero!B50="","",Bordero!$G$3)</f>
        <v/>
      </c>
      <c r="E43" s="22" t="str">
        <f>IF(Bordero!B50="","",(F43-Q43-Simulador!$H$6))</f>
        <v/>
      </c>
      <c r="F43" s="22" t="str">
        <f>IF(Bordero!B50="","",Bordero!I50)</f>
        <v/>
      </c>
      <c r="G43" s="16" t="str">
        <f>IF(Bordero!B50="","",Bordero!F50)</f>
        <v/>
      </c>
      <c r="H43" s="16" t="str">
        <f>IF(Bordero!B50="","",Bordero!E50)</f>
        <v/>
      </c>
      <c r="I43" s="41" t="str">
        <f>IF(Bordero!B50="","",Bordero!B50)</f>
        <v/>
      </c>
      <c r="J43" s="40" t="str">
        <f>IF(Bordero!B50="","",Bordero!C50)</f>
        <v/>
      </c>
      <c r="K43" s="42" t="str">
        <f>IF(Bordero!B50="","",Bordero!K50)</f>
        <v/>
      </c>
      <c r="L43" s="134" t="str">
        <f>IF(Bordero!B50="","",Bordero!$C$3)</f>
        <v/>
      </c>
      <c r="M43" s="43" t="str">
        <f>IF(Bordero!B50="","",Bordero!$C$4)</f>
        <v/>
      </c>
      <c r="N43" s="42" t="str">
        <f>IF(Bordero!B50="","","sim")</f>
        <v/>
      </c>
      <c r="O43" s="42" t="str">
        <f>IF(Bordero!B50="","","duplicata")</f>
        <v/>
      </c>
      <c r="P43" s="135" t="str">
        <f t="shared" si="5"/>
        <v/>
      </c>
      <c r="Q43" s="47" t="str">
        <f>IF(Bordero!B50="","",(1-(((Bordero!$I$6)+1)^R43))*F43*-1)</f>
        <v/>
      </c>
      <c r="R43" s="33" t="str">
        <f>IF(Bordero!B50="","",(X43-Bordero!$H$1)/30)</f>
        <v/>
      </c>
      <c r="S43" s="45" t="str">
        <f>Bordero!$C$5</f>
        <v>Gustavo Oliveira</v>
      </c>
      <c r="T43" s="45" t="str">
        <f>REPLACE(Bordero!$E$3,3,50,"")</f>
        <v>Co</v>
      </c>
      <c r="U43" t="str">
        <f t="shared" si="1"/>
        <v>Gustavo Oliveira/Co/</v>
      </c>
      <c r="W43">
        <f t="shared" si="6"/>
        <v>7</v>
      </c>
      <c r="X43" s="9" t="e">
        <f t="shared" si="7"/>
        <v>#VALUE!</v>
      </c>
    </row>
    <row r="44" spans="1:24">
      <c r="A44" s="39" t="str">
        <f>IF(Bordero!B51="","",IF(Bordero!$G$3="Product",Bordero!J51,Bordero!D51))</f>
        <v/>
      </c>
      <c r="B44" s="39" t="str">
        <f>IF(Bordero!B51="","",Bordero!D51)</f>
        <v/>
      </c>
      <c r="C44" s="39" t="str">
        <f>IF(Bordero!B51="","",U44)</f>
        <v/>
      </c>
      <c r="D44" s="40" t="str">
        <f>IF(Bordero!B51="","",Bordero!$G$3)</f>
        <v/>
      </c>
      <c r="E44" s="22" t="str">
        <f>IF(Bordero!B51="","",(F44-Q44-Simulador!$H$6))</f>
        <v/>
      </c>
      <c r="F44" s="22" t="str">
        <f>IF(Bordero!B51="","",Bordero!I51)</f>
        <v/>
      </c>
      <c r="G44" s="16" t="str">
        <f>IF(Bordero!B51="","",Bordero!F51)</f>
        <v/>
      </c>
      <c r="H44" s="16" t="str">
        <f>IF(Bordero!B51="","",Bordero!E51)</f>
        <v/>
      </c>
      <c r="I44" s="41" t="str">
        <f>IF(Bordero!B51="","",Bordero!B51)</f>
        <v/>
      </c>
      <c r="J44" s="40" t="str">
        <f>IF(Bordero!B51="","",Bordero!C51)</f>
        <v/>
      </c>
      <c r="K44" s="42" t="str">
        <f>IF(Bordero!B51="","",Bordero!K51)</f>
        <v/>
      </c>
      <c r="L44" s="134" t="str">
        <f>IF(Bordero!B51="","",Bordero!$C$3)</f>
        <v/>
      </c>
      <c r="M44" s="43" t="str">
        <f>IF(Bordero!B51="","",Bordero!$C$4)</f>
        <v/>
      </c>
      <c r="N44" s="42" t="str">
        <f>IF(Bordero!B51="","","sim")</f>
        <v/>
      </c>
      <c r="O44" s="42" t="str">
        <f>IF(Bordero!B51="","","duplicata")</f>
        <v/>
      </c>
      <c r="P44" s="135" t="str">
        <f t="shared" si="5"/>
        <v/>
      </c>
      <c r="Q44" s="47" t="str">
        <f>IF(Bordero!B51="","",(1-(((Bordero!$I$6)+1)^R44))*F44*-1)</f>
        <v/>
      </c>
      <c r="R44" s="33" t="str">
        <f>IF(Bordero!B51="","",(X44-Bordero!$H$1)/30)</f>
        <v/>
      </c>
      <c r="S44" s="45" t="str">
        <f>Bordero!$C$5</f>
        <v>Gustavo Oliveira</v>
      </c>
      <c r="T44" s="45" t="str">
        <f>REPLACE(Bordero!$E$3,3,50,"")</f>
        <v>Co</v>
      </c>
      <c r="U44" t="str">
        <f t="shared" si="1"/>
        <v>Gustavo Oliveira/Co/</v>
      </c>
      <c r="W44">
        <f t="shared" si="6"/>
        <v>7</v>
      </c>
      <c r="X44" s="9" t="e">
        <f t="shared" si="7"/>
        <v>#VALUE!</v>
      </c>
    </row>
    <row r="45" spans="1:24">
      <c r="A45" s="39" t="str">
        <f>IF(Bordero!B52="","",IF(Bordero!$G$3="Product",Bordero!J52,Bordero!D52))</f>
        <v/>
      </c>
      <c r="B45" s="39" t="str">
        <f>IF(Bordero!B52="","",Bordero!D52)</f>
        <v/>
      </c>
      <c r="C45" s="39" t="str">
        <f>IF(Bordero!B52="","",U45)</f>
        <v/>
      </c>
      <c r="D45" s="40" t="str">
        <f>IF(Bordero!B52="","",Bordero!$G$3)</f>
        <v/>
      </c>
      <c r="E45" s="22" t="str">
        <f>IF(Bordero!B52="","",(F45-Q45-Simulador!$H$6))</f>
        <v/>
      </c>
      <c r="F45" s="22" t="str">
        <f>IF(Bordero!B52="","",Bordero!I52)</f>
        <v/>
      </c>
      <c r="G45" s="16" t="str">
        <f>IF(Bordero!B52="","",Bordero!F52)</f>
        <v/>
      </c>
      <c r="H45" s="16" t="str">
        <f>IF(Bordero!B52="","",Bordero!E52)</f>
        <v/>
      </c>
      <c r="I45" s="41" t="str">
        <f>IF(Bordero!B52="","",Bordero!B52)</f>
        <v/>
      </c>
      <c r="J45" s="40" t="str">
        <f>IF(Bordero!B52="","",Bordero!C52)</f>
        <v/>
      </c>
      <c r="K45" s="42" t="str">
        <f>IF(Bordero!B52="","",Bordero!K52)</f>
        <v/>
      </c>
      <c r="L45" s="134" t="str">
        <f>IF(Bordero!B52="","",Bordero!$C$3)</f>
        <v/>
      </c>
      <c r="M45" s="43" t="str">
        <f>IF(Bordero!B52="","",Bordero!$C$4)</f>
        <v/>
      </c>
      <c r="N45" s="42" t="str">
        <f>IF(Bordero!B52="","","sim")</f>
        <v/>
      </c>
      <c r="O45" s="42" t="str">
        <f>IF(Bordero!B52="","","duplicata")</f>
        <v/>
      </c>
      <c r="P45" s="135" t="str">
        <f t="shared" si="5"/>
        <v/>
      </c>
      <c r="Q45" s="47" t="str">
        <f>IF(Bordero!B52="","",(1-(((Bordero!$I$6)+1)^R45))*F45*-1)</f>
        <v/>
      </c>
      <c r="R45" s="33" t="str">
        <f>IF(Bordero!B52="","",(X45-Bordero!$H$1)/30)</f>
        <v/>
      </c>
      <c r="S45" s="45" t="str">
        <f>Bordero!$C$5</f>
        <v>Gustavo Oliveira</v>
      </c>
      <c r="T45" s="45" t="str">
        <f>REPLACE(Bordero!$E$3,3,50,"")</f>
        <v>Co</v>
      </c>
      <c r="U45" t="str">
        <f t="shared" si="1"/>
        <v>Gustavo Oliveira/Co/</v>
      </c>
      <c r="W45">
        <f t="shared" si="6"/>
        <v>7</v>
      </c>
      <c r="X45" s="9" t="e">
        <f t="shared" si="7"/>
        <v>#VALUE!</v>
      </c>
    </row>
    <row r="46" spans="1:24">
      <c r="A46" s="39" t="str">
        <f>IF(Bordero!B53="","",IF(Bordero!$G$3="Product",Bordero!J53,Bordero!D53))</f>
        <v/>
      </c>
      <c r="B46" s="39" t="str">
        <f>IF(Bordero!B53="","",Bordero!D53)</f>
        <v/>
      </c>
      <c r="C46" s="39" t="str">
        <f>IF(Bordero!B53="","",U46)</f>
        <v/>
      </c>
      <c r="D46" s="40" t="str">
        <f>IF(Bordero!B53="","",Bordero!$G$3)</f>
        <v/>
      </c>
      <c r="E46" s="22" t="str">
        <f>IF(Bordero!B53="","",(F46-Q46-Simulador!$H$6))</f>
        <v/>
      </c>
      <c r="F46" s="22" t="str">
        <f>IF(Bordero!B53="","",Bordero!I53)</f>
        <v/>
      </c>
      <c r="G46" s="16" t="str">
        <f>IF(Bordero!B53="","",Bordero!F53)</f>
        <v/>
      </c>
      <c r="H46" s="16" t="str">
        <f>IF(Bordero!B53="","",Bordero!E53)</f>
        <v/>
      </c>
      <c r="I46" s="41" t="str">
        <f>IF(Bordero!B53="","",Bordero!B53)</f>
        <v/>
      </c>
      <c r="J46" s="40" t="str">
        <f>IF(Bordero!B53="","",Bordero!C53)</f>
        <v/>
      </c>
      <c r="K46" s="42" t="str">
        <f>IF(Bordero!B53="","",Bordero!K53)</f>
        <v/>
      </c>
      <c r="L46" s="134" t="str">
        <f>IF(Bordero!B53="","",Bordero!$C$3)</f>
        <v/>
      </c>
      <c r="M46" s="43" t="str">
        <f>IF(Bordero!B53="","",Bordero!$C$4)</f>
        <v/>
      </c>
      <c r="N46" s="42" t="str">
        <f>IF(Bordero!B53="","","sim")</f>
        <v/>
      </c>
      <c r="O46" s="42" t="str">
        <f>IF(Bordero!B53="","","duplicata")</f>
        <v/>
      </c>
      <c r="P46" s="135" t="str">
        <f t="shared" si="5"/>
        <v/>
      </c>
      <c r="Q46" s="47" t="str">
        <f>IF(Bordero!B53="","",(1-(((Bordero!$I$6)+1)^R46))*F46*-1)</f>
        <v/>
      </c>
      <c r="R46" s="33" t="str">
        <f>IF(Bordero!B53="","",(X46-Bordero!$H$1)/30)</f>
        <v/>
      </c>
      <c r="S46" s="45" t="str">
        <f>Bordero!$C$5</f>
        <v>Gustavo Oliveira</v>
      </c>
      <c r="T46" s="45" t="str">
        <f>REPLACE(Bordero!$E$3,3,50,"")</f>
        <v>Co</v>
      </c>
      <c r="U46" t="str">
        <f t="shared" si="1"/>
        <v>Gustavo Oliveira/Co/</v>
      </c>
      <c r="W46">
        <f t="shared" si="6"/>
        <v>7</v>
      </c>
      <c r="X46" s="9" t="e">
        <f t="shared" si="7"/>
        <v>#VALUE!</v>
      </c>
    </row>
    <row r="47" spans="1:24">
      <c r="A47" s="39" t="str">
        <f>IF(Bordero!B54="","",IF(Bordero!$G$3="Product",Bordero!J54,Bordero!D54))</f>
        <v/>
      </c>
      <c r="B47" s="39" t="str">
        <f>IF(Bordero!B54="","",Bordero!D54)</f>
        <v/>
      </c>
      <c r="C47" s="39" t="str">
        <f>IF(Bordero!B54="","",U47)</f>
        <v/>
      </c>
      <c r="D47" s="40" t="str">
        <f>IF(Bordero!B54="","",Bordero!$G$3)</f>
        <v/>
      </c>
      <c r="E47" s="22" t="str">
        <f>IF(Bordero!B54="","",(F47-Q47-Simulador!$H$6))</f>
        <v/>
      </c>
      <c r="F47" s="22" t="str">
        <f>IF(Bordero!B54="","",Bordero!I54)</f>
        <v/>
      </c>
      <c r="G47" s="16" t="str">
        <f>IF(Bordero!B54="","",Bordero!F54)</f>
        <v/>
      </c>
      <c r="H47" s="16" t="str">
        <f>IF(Bordero!B54="","",Bordero!E54)</f>
        <v/>
      </c>
      <c r="I47" s="41" t="str">
        <f>IF(Bordero!B54="","",Bordero!B54)</f>
        <v/>
      </c>
      <c r="J47" s="40" t="str">
        <f>IF(Bordero!B54="","",Bordero!C54)</f>
        <v/>
      </c>
      <c r="K47" s="42" t="str">
        <f>IF(Bordero!B54="","",Bordero!K54)</f>
        <v/>
      </c>
      <c r="L47" s="134" t="str">
        <f>IF(Bordero!B54="","",Bordero!$C$3)</f>
        <v/>
      </c>
      <c r="M47" s="43" t="str">
        <f>IF(Bordero!B54="","",Bordero!$C$4)</f>
        <v/>
      </c>
      <c r="N47" s="42" t="str">
        <f>IF(Bordero!B54="","","sim")</f>
        <v/>
      </c>
      <c r="O47" s="42" t="str">
        <f>IF(Bordero!B54="","","duplicata")</f>
        <v/>
      </c>
      <c r="P47" s="135" t="str">
        <f t="shared" si="5"/>
        <v/>
      </c>
      <c r="Q47" s="47" t="str">
        <f>IF(Bordero!B54="","",(1-(((Bordero!$I$6)+1)^R47))*F47*-1)</f>
        <v/>
      </c>
      <c r="R47" s="33" t="str">
        <f>IF(Bordero!B54="","",(X47-Bordero!$H$1)/30)</f>
        <v/>
      </c>
      <c r="S47" s="45" t="str">
        <f>Bordero!$C$5</f>
        <v>Gustavo Oliveira</v>
      </c>
      <c r="T47" s="45" t="str">
        <f>REPLACE(Bordero!$E$3,3,50,"")</f>
        <v>Co</v>
      </c>
      <c r="U47" t="str">
        <f t="shared" si="1"/>
        <v>Gustavo Oliveira/Co/</v>
      </c>
      <c r="W47">
        <f t="shared" si="6"/>
        <v>7</v>
      </c>
      <c r="X47" s="9" t="e">
        <f t="shared" si="7"/>
        <v>#VALUE!</v>
      </c>
    </row>
    <row r="48" spans="1:24">
      <c r="A48" s="39" t="str">
        <f>IF(Bordero!B55="","",IF(Bordero!$G$3="Product",Bordero!J55,Bordero!D55))</f>
        <v/>
      </c>
      <c r="B48" s="39" t="str">
        <f>IF(Bordero!B55="","",Bordero!D55)</f>
        <v/>
      </c>
      <c r="C48" s="39" t="str">
        <f>IF(Bordero!B55="","",U48)</f>
        <v/>
      </c>
      <c r="D48" s="40" t="str">
        <f>IF(Bordero!B55="","",Bordero!$G$3)</f>
        <v/>
      </c>
      <c r="E48" s="22" t="str">
        <f>IF(Bordero!B55="","",(F48-Q48-Simulador!$H$6))</f>
        <v/>
      </c>
      <c r="F48" s="22" t="str">
        <f>IF(Bordero!B55="","",Bordero!I55)</f>
        <v/>
      </c>
      <c r="G48" s="16" t="str">
        <f>IF(Bordero!B55="","",Bordero!F55)</f>
        <v/>
      </c>
      <c r="H48" s="16" t="str">
        <f>IF(Bordero!B55="","",Bordero!E55)</f>
        <v/>
      </c>
      <c r="I48" s="41" t="str">
        <f>IF(Bordero!B55="","",Bordero!B55)</f>
        <v/>
      </c>
      <c r="J48" s="40" t="str">
        <f>IF(Bordero!B55="","",Bordero!C55)</f>
        <v/>
      </c>
      <c r="K48" s="42" t="str">
        <f>IF(Bordero!B55="","",Bordero!K55)</f>
        <v/>
      </c>
      <c r="L48" s="134" t="str">
        <f>IF(Bordero!B55="","",Bordero!$C$3)</f>
        <v/>
      </c>
      <c r="M48" s="43" t="str">
        <f>IF(Bordero!B55="","",Bordero!$C$4)</f>
        <v/>
      </c>
      <c r="N48" s="42" t="str">
        <f>IF(Bordero!B55="","","sim")</f>
        <v/>
      </c>
      <c r="O48" s="42" t="str">
        <f>IF(Bordero!B55="","","duplicata")</f>
        <v/>
      </c>
      <c r="P48" s="135" t="str">
        <f t="shared" si="5"/>
        <v/>
      </c>
      <c r="Q48" s="47" t="str">
        <f>IF(Bordero!B55="","",(1-(((Bordero!$I$6)+1)^R48))*F48*-1)</f>
        <v/>
      </c>
      <c r="R48" s="33" t="str">
        <f>IF(Bordero!B55="","",(X48-Bordero!$H$1)/30)</f>
        <v/>
      </c>
      <c r="S48" s="45" t="str">
        <f>Bordero!$C$5</f>
        <v>Gustavo Oliveira</v>
      </c>
      <c r="T48" s="45" t="str">
        <f>REPLACE(Bordero!$E$3,3,50,"")</f>
        <v>Co</v>
      </c>
      <c r="U48" t="str">
        <f t="shared" si="1"/>
        <v>Gustavo Oliveira/Co/</v>
      </c>
      <c r="W48">
        <f t="shared" si="6"/>
        <v>7</v>
      </c>
      <c r="X48" s="9" t="e">
        <f t="shared" si="7"/>
        <v>#VALUE!</v>
      </c>
    </row>
    <row r="49" spans="1:24">
      <c r="A49" s="39" t="str">
        <f>IF(Bordero!B56="","",IF(Bordero!$G$3="Product",Bordero!J56,Bordero!D56))</f>
        <v/>
      </c>
      <c r="B49" s="39" t="str">
        <f>IF(Bordero!B56="","",Bordero!D56)</f>
        <v/>
      </c>
      <c r="C49" s="39" t="str">
        <f>IF(Bordero!B56="","",U49)</f>
        <v/>
      </c>
      <c r="D49" s="40" t="str">
        <f>IF(Bordero!B56="","",Bordero!$G$3)</f>
        <v/>
      </c>
      <c r="E49" s="22" t="str">
        <f>IF(Bordero!B56="","",(F49-Q49-Simulador!$H$6))</f>
        <v/>
      </c>
      <c r="F49" s="22" t="str">
        <f>IF(Bordero!B56="","",Bordero!I56)</f>
        <v/>
      </c>
      <c r="G49" s="16" t="str">
        <f>IF(Bordero!B56="","",Bordero!F56)</f>
        <v/>
      </c>
      <c r="H49" s="16" t="str">
        <f>IF(Bordero!B56="","",Bordero!E56)</f>
        <v/>
      </c>
      <c r="I49" s="41" t="str">
        <f>IF(Bordero!B56="","",Bordero!B56)</f>
        <v/>
      </c>
      <c r="J49" s="40" t="str">
        <f>IF(Bordero!B56="","",Bordero!C56)</f>
        <v/>
      </c>
      <c r="K49" s="42" t="str">
        <f>IF(Bordero!B56="","",Bordero!K56)</f>
        <v/>
      </c>
      <c r="L49" s="134" t="str">
        <f>IF(Bordero!B56="","",Bordero!$C$3)</f>
        <v/>
      </c>
      <c r="M49" s="43" t="str">
        <f>IF(Bordero!B56="","",Bordero!$C$4)</f>
        <v/>
      </c>
      <c r="N49" s="42" t="str">
        <f>IF(Bordero!B56="","","sim")</f>
        <v/>
      </c>
      <c r="O49" s="42" t="str">
        <f>IF(Bordero!B56="","","duplicata")</f>
        <v/>
      </c>
      <c r="P49" s="135" t="str">
        <f t="shared" si="5"/>
        <v/>
      </c>
      <c r="Q49" s="47" t="str">
        <f>IF(Bordero!B56="","",(1-(((Bordero!$I$6)+1)^R49))*F49*-1)</f>
        <v/>
      </c>
      <c r="R49" s="33" t="str">
        <f>IF(Bordero!B56="","",(X49-Bordero!$H$1)/30)</f>
        <v/>
      </c>
      <c r="S49" s="45" t="str">
        <f>Bordero!$C$5</f>
        <v>Gustavo Oliveira</v>
      </c>
      <c r="T49" s="45" t="str">
        <f>REPLACE(Bordero!$E$3,3,50,"")</f>
        <v>Co</v>
      </c>
      <c r="U49" t="str">
        <f t="shared" si="1"/>
        <v>Gustavo Oliveira/Co/</v>
      </c>
      <c r="W49">
        <f t="shared" si="6"/>
        <v>7</v>
      </c>
      <c r="X49" s="9" t="e">
        <f t="shared" si="7"/>
        <v>#VALUE!</v>
      </c>
    </row>
    <row r="50" spans="1:24">
      <c r="A50" s="39" t="str">
        <f>IF(Bordero!B57="","",IF(Bordero!$G$3="Product",Bordero!J57,Bordero!D57))</f>
        <v/>
      </c>
      <c r="B50" s="39" t="str">
        <f>IF(Bordero!B57="","",Bordero!D57)</f>
        <v/>
      </c>
      <c r="C50" s="39" t="str">
        <f>IF(Bordero!B57="","",U50)</f>
        <v/>
      </c>
      <c r="D50" s="40" t="str">
        <f>IF(Bordero!B57="","",Bordero!$G$3)</f>
        <v/>
      </c>
      <c r="E50" s="22" t="str">
        <f>IF(Bordero!B57="","",(F50-Q50-Simulador!$H$6))</f>
        <v/>
      </c>
      <c r="F50" s="22" t="str">
        <f>IF(Bordero!B57="","",Bordero!I57)</f>
        <v/>
      </c>
      <c r="G50" s="16" t="str">
        <f>IF(Bordero!B57="","",Bordero!F57)</f>
        <v/>
      </c>
      <c r="H50" s="16" t="str">
        <f>IF(Bordero!B57="","",Bordero!E57)</f>
        <v/>
      </c>
      <c r="I50" s="41" t="str">
        <f>IF(Bordero!B57="","",Bordero!B57)</f>
        <v/>
      </c>
      <c r="J50" s="40" t="str">
        <f>IF(Bordero!B57="","",Bordero!C57)</f>
        <v/>
      </c>
      <c r="K50" s="42" t="str">
        <f>IF(Bordero!B57="","",Bordero!K57)</f>
        <v/>
      </c>
      <c r="L50" s="134" t="str">
        <f>IF(Bordero!B57="","",Bordero!$C$3)</f>
        <v/>
      </c>
      <c r="M50" s="43" t="str">
        <f>IF(Bordero!B57="","",Bordero!$C$4)</f>
        <v/>
      </c>
      <c r="N50" s="42" t="str">
        <f>IF(Bordero!B57="","","sim")</f>
        <v/>
      </c>
      <c r="O50" s="42" t="str">
        <f>IF(Bordero!B57="","","duplicata")</f>
        <v/>
      </c>
      <c r="P50" s="135" t="str">
        <f t="shared" si="5"/>
        <v/>
      </c>
      <c r="Q50" s="47" t="str">
        <f>IF(Bordero!B57="","",(1-(((Bordero!$I$6)+1)^R50))*F50*-1)</f>
        <v/>
      </c>
      <c r="R50" s="33" t="str">
        <f>IF(Bordero!B57="","",(X50-Bordero!$H$1)/30)</f>
        <v/>
      </c>
      <c r="S50" s="45" t="str">
        <f>Bordero!$C$5</f>
        <v>Gustavo Oliveira</v>
      </c>
      <c r="T50" s="45" t="str">
        <f>REPLACE(Bordero!$E$3,3,50,"")</f>
        <v>Co</v>
      </c>
      <c r="U50" t="str">
        <f t="shared" si="1"/>
        <v>Gustavo Oliveira/Co/</v>
      </c>
      <c r="W50">
        <f t="shared" si="6"/>
        <v>7</v>
      </c>
      <c r="X50" s="9" t="e">
        <f t="shared" si="7"/>
        <v>#VALUE!</v>
      </c>
    </row>
    <row r="51" spans="1:24">
      <c r="A51" s="39" t="str">
        <f>IF(Bordero!B58="","",IF(Bordero!$G$3="Product",Bordero!J58,Bordero!D58))</f>
        <v/>
      </c>
      <c r="B51" s="39" t="str">
        <f>IF(Bordero!B58="","",Bordero!D58)</f>
        <v/>
      </c>
      <c r="C51" s="39" t="str">
        <f>IF(Bordero!B58="","",U51)</f>
        <v/>
      </c>
      <c r="D51" s="40" t="str">
        <f>IF(Bordero!B58="","",Bordero!$G$3)</f>
        <v/>
      </c>
      <c r="E51" s="22" t="str">
        <f>IF(Bordero!B58="","",(F51-Q51-Simulador!$H$6))</f>
        <v/>
      </c>
      <c r="F51" s="22" t="str">
        <f>IF(Bordero!B58="","",Bordero!I58)</f>
        <v/>
      </c>
      <c r="G51" s="16" t="str">
        <f>IF(Bordero!B58="","",Bordero!F58)</f>
        <v/>
      </c>
      <c r="H51" s="16" t="str">
        <f>IF(Bordero!B58="","",Bordero!E58)</f>
        <v/>
      </c>
      <c r="I51" s="41" t="str">
        <f>IF(Bordero!B58="","",Bordero!B58)</f>
        <v/>
      </c>
      <c r="J51" s="40" t="str">
        <f>IF(Bordero!B58="","",Bordero!C58)</f>
        <v/>
      </c>
      <c r="K51" s="42" t="str">
        <f>IF(Bordero!B58="","",Bordero!K58)</f>
        <v/>
      </c>
      <c r="L51" s="134" t="str">
        <f>IF(Bordero!B58="","",Bordero!$C$3)</f>
        <v/>
      </c>
      <c r="M51" s="43" t="str">
        <f>IF(Bordero!B58="","",Bordero!$C$4)</f>
        <v/>
      </c>
      <c r="N51" s="42" t="str">
        <f>IF(Bordero!B58="","","sim")</f>
        <v/>
      </c>
      <c r="O51" s="42" t="str">
        <f>IF(Bordero!B58="","","duplicata")</f>
        <v/>
      </c>
      <c r="P51" s="135" t="str">
        <f t="shared" si="5"/>
        <v/>
      </c>
      <c r="Q51" s="47" t="str">
        <f>IF(Bordero!B58="","",(1-(((Bordero!$I$6)+1)^R51))*F51*-1)</f>
        <v/>
      </c>
      <c r="R51" s="33" t="str">
        <f>IF(Bordero!B58="","",(X51-Bordero!$H$1)/30)</f>
        <v/>
      </c>
      <c r="S51" s="45" t="str">
        <f>Bordero!$C$5</f>
        <v>Gustavo Oliveira</v>
      </c>
      <c r="T51" s="45" t="str">
        <f>REPLACE(Bordero!$E$3,3,50,"")</f>
        <v>Co</v>
      </c>
      <c r="U51" t="str">
        <f t="shared" si="1"/>
        <v>Gustavo Oliveira/Co/</v>
      </c>
      <c r="W51">
        <f t="shared" si="6"/>
        <v>7</v>
      </c>
      <c r="X51" s="9" t="e">
        <f t="shared" si="7"/>
        <v>#VALUE!</v>
      </c>
    </row>
    <row r="52" spans="1:24">
      <c r="A52" s="39" t="str">
        <f>IF(Bordero!B59="","",IF(Bordero!$G$3="Product",Bordero!J59,Bordero!D59))</f>
        <v/>
      </c>
      <c r="B52" s="39" t="str">
        <f>IF(Bordero!B59="","",Bordero!D59)</f>
        <v/>
      </c>
      <c r="C52" s="39" t="str">
        <f>IF(Bordero!B59="","",U52)</f>
        <v/>
      </c>
      <c r="D52" s="40" t="str">
        <f>IF(Bordero!B59="","",Bordero!$G$3)</f>
        <v/>
      </c>
      <c r="E52" s="22" t="str">
        <f>IF(Bordero!B59="","",(F52-Q52-Simulador!$H$6))</f>
        <v/>
      </c>
      <c r="F52" s="22" t="str">
        <f>IF(Bordero!B59="","",Bordero!I59)</f>
        <v/>
      </c>
      <c r="G52" s="16" t="str">
        <f>IF(Bordero!B59="","",Bordero!F59)</f>
        <v/>
      </c>
      <c r="H52" s="16" t="str">
        <f>IF(Bordero!B59="","",Bordero!E59)</f>
        <v/>
      </c>
      <c r="I52" s="41" t="str">
        <f>IF(Bordero!B59="","",Bordero!B59)</f>
        <v/>
      </c>
      <c r="J52" s="40" t="str">
        <f>IF(Bordero!B59="","",Bordero!C59)</f>
        <v/>
      </c>
      <c r="K52" s="42" t="str">
        <f>IF(Bordero!B59="","",Bordero!K59)</f>
        <v/>
      </c>
      <c r="L52" s="134" t="str">
        <f>IF(Bordero!B59="","",Bordero!$C$3)</f>
        <v/>
      </c>
      <c r="M52" s="43" t="str">
        <f>IF(Bordero!B59="","",Bordero!$C$4)</f>
        <v/>
      </c>
      <c r="N52" s="42" t="str">
        <f>IF(Bordero!B59="","","sim")</f>
        <v/>
      </c>
      <c r="O52" s="42" t="str">
        <f>IF(Bordero!B59="","","duplicata")</f>
        <v/>
      </c>
      <c r="P52" s="135" t="str">
        <f t="shared" si="5"/>
        <v/>
      </c>
      <c r="Q52" s="47" t="str">
        <f>IF(Bordero!B59="","",(1-(((Bordero!$I$6)+1)^R52))*F52*-1)</f>
        <v/>
      </c>
      <c r="R52" s="33" t="str">
        <f>IF(Bordero!B59="","",(X52-Bordero!$H$1)/30)</f>
        <v/>
      </c>
      <c r="S52" s="45" t="str">
        <f>Bordero!$C$5</f>
        <v>Gustavo Oliveira</v>
      </c>
      <c r="T52" s="45" t="str">
        <f>REPLACE(Bordero!$E$3,3,50,"")</f>
        <v>Co</v>
      </c>
      <c r="U52" t="str">
        <f t="shared" si="1"/>
        <v>Gustavo Oliveira/Co/</v>
      </c>
      <c r="W52">
        <f t="shared" si="6"/>
        <v>7</v>
      </c>
      <c r="X52" s="9" t="e">
        <f t="shared" si="7"/>
        <v>#VALUE!</v>
      </c>
    </row>
    <row r="53" spans="1:24">
      <c r="A53" s="39" t="str">
        <f>IF(Bordero!B60="","",IF(Bordero!$G$3="Product",Bordero!J60,Bordero!D60))</f>
        <v/>
      </c>
      <c r="B53" s="39" t="str">
        <f>IF(Bordero!B60="","",Bordero!D60)</f>
        <v/>
      </c>
      <c r="C53" s="39" t="str">
        <f>IF(Bordero!B60="","",U53)</f>
        <v/>
      </c>
      <c r="D53" s="40" t="str">
        <f>IF(Bordero!B60="","",Bordero!$G$3)</f>
        <v/>
      </c>
      <c r="E53" s="22" t="str">
        <f>IF(Bordero!B60="","",(F53-Q53-Simulador!$H$6))</f>
        <v/>
      </c>
      <c r="F53" s="22" t="str">
        <f>IF(Bordero!B60="","",Bordero!I60)</f>
        <v/>
      </c>
      <c r="G53" s="16" t="str">
        <f>IF(Bordero!B60="","",Bordero!F60)</f>
        <v/>
      </c>
      <c r="H53" s="16" t="str">
        <f>IF(Bordero!B60="","",Bordero!E60)</f>
        <v/>
      </c>
      <c r="I53" s="41" t="str">
        <f>IF(Bordero!B60="","",Bordero!B60)</f>
        <v/>
      </c>
      <c r="J53" s="40" t="str">
        <f>IF(Bordero!B60="","",Bordero!C60)</f>
        <v/>
      </c>
      <c r="K53" s="42" t="str">
        <f>IF(Bordero!B60="","",Bordero!K60)</f>
        <v/>
      </c>
      <c r="L53" s="134" t="str">
        <f>IF(Bordero!B60="","",Bordero!$C$3)</f>
        <v/>
      </c>
      <c r="M53" s="43" t="str">
        <f>IF(Bordero!B60="","",Bordero!$C$4)</f>
        <v/>
      </c>
      <c r="N53" s="42" t="str">
        <f>IF(Bordero!B60="","","sim")</f>
        <v/>
      </c>
      <c r="O53" s="42" t="str">
        <f>IF(Bordero!B60="","","duplicata")</f>
        <v/>
      </c>
      <c r="P53" s="135" t="str">
        <f t="shared" si="5"/>
        <v/>
      </c>
      <c r="Q53" s="47" t="str">
        <f>IF(Bordero!B60="","",(1-(((Bordero!$I$6)+1)^R53))*F53*-1)</f>
        <v/>
      </c>
      <c r="R53" s="33" t="str">
        <f>IF(Bordero!B60="","",(X53-Bordero!$H$1)/30)</f>
        <v/>
      </c>
      <c r="S53" s="45" t="str">
        <f>Bordero!$C$5</f>
        <v>Gustavo Oliveira</v>
      </c>
      <c r="T53" s="45" t="str">
        <f>REPLACE(Bordero!$E$3,3,50,"")</f>
        <v>Co</v>
      </c>
      <c r="U53" t="str">
        <f t="shared" si="1"/>
        <v>Gustavo Oliveira/Co/</v>
      </c>
      <c r="W53">
        <f t="shared" si="6"/>
        <v>7</v>
      </c>
      <c r="X53" s="9" t="e">
        <f t="shared" si="7"/>
        <v>#VALUE!</v>
      </c>
    </row>
    <row r="54" spans="1:24">
      <c r="A54" s="39" t="str">
        <f>IF(Bordero!B61="","",IF(Bordero!$G$3="Product",Bordero!J61,Bordero!D61))</f>
        <v/>
      </c>
      <c r="B54" s="39" t="str">
        <f>IF(Bordero!B61="","",Bordero!D61)</f>
        <v/>
      </c>
      <c r="C54" s="39" t="str">
        <f>IF(Bordero!B61="","",U54)</f>
        <v/>
      </c>
      <c r="D54" s="40" t="str">
        <f>IF(Bordero!B61="","",Bordero!$G$3)</f>
        <v/>
      </c>
      <c r="E54" s="22" t="str">
        <f>IF(Bordero!B61="","",(F54-Q54-Simulador!$H$6))</f>
        <v/>
      </c>
      <c r="F54" s="22" t="str">
        <f>IF(Bordero!B61="","",Bordero!I61)</f>
        <v/>
      </c>
      <c r="G54" s="16" t="str">
        <f>IF(Bordero!B61="","",Bordero!F61)</f>
        <v/>
      </c>
      <c r="H54" s="16" t="str">
        <f>IF(Bordero!B61="","",Bordero!E61)</f>
        <v/>
      </c>
      <c r="I54" s="41" t="str">
        <f>IF(Bordero!B61="","",Bordero!B61)</f>
        <v/>
      </c>
      <c r="J54" s="40" t="str">
        <f>IF(Bordero!B61="","",Bordero!C61)</f>
        <v/>
      </c>
      <c r="K54" s="42" t="str">
        <f>IF(Bordero!B61="","",Bordero!K61)</f>
        <v/>
      </c>
      <c r="L54" s="134" t="str">
        <f>IF(Bordero!B61="","",Bordero!$C$3)</f>
        <v/>
      </c>
      <c r="M54" s="43" t="str">
        <f>IF(Bordero!B61="","",Bordero!$C$4)</f>
        <v/>
      </c>
      <c r="N54" s="42" t="str">
        <f>IF(Bordero!B61="","","sim")</f>
        <v/>
      </c>
      <c r="O54" s="42" t="str">
        <f>IF(Bordero!B61="","","duplicata")</f>
        <v/>
      </c>
      <c r="P54" s="135" t="str">
        <f t="shared" si="5"/>
        <v/>
      </c>
      <c r="Q54" s="47" t="str">
        <f>IF(Bordero!B61="","",(1-(((Bordero!$I$6)+1)^R54))*F54*-1)</f>
        <v/>
      </c>
      <c r="R54" s="33" t="str">
        <f>IF(Bordero!B61="","",(X54-Bordero!$H$1)/30)</f>
        <v/>
      </c>
      <c r="S54" s="45" t="str">
        <f>Bordero!$C$5</f>
        <v>Gustavo Oliveira</v>
      </c>
      <c r="T54" s="45" t="str">
        <f>REPLACE(Bordero!$E$3,3,50,"")</f>
        <v>Co</v>
      </c>
      <c r="U54" t="str">
        <f t="shared" si="1"/>
        <v>Gustavo Oliveira/Co/</v>
      </c>
      <c r="W54">
        <f t="shared" si="6"/>
        <v>7</v>
      </c>
      <c r="X54" s="9" t="e">
        <f t="shared" si="7"/>
        <v>#VALUE!</v>
      </c>
    </row>
    <row r="55" spans="1:24">
      <c r="A55" s="39" t="str">
        <f>IF(Bordero!B62="","",IF(Bordero!$G$3="Product",Bordero!J62,Bordero!D62))</f>
        <v/>
      </c>
      <c r="B55" s="39" t="str">
        <f>IF(Bordero!B62="","",Bordero!D62)</f>
        <v/>
      </c>
      <c r="C55" s="39" t="str">
        <f>IF(Bordero!B62="","",U55)</f>
        <v/>
      </c>
      <c r="D55" s="40" t="str">
        <f>IF(Bordero!B62="","",Bordero!$G$3)</f>
        <v/>
      </c>
      <c r="E55" s="22" t="str">
        <f>IF(Bordero!B62="","",(F55-Q55-Simulador!$H$6))</f>
        <v/>
      </c>
      <c r="F55" s="22" t="str">
        <f>IF(Bordero!B62="","",Bordero!I62)</f>
        <v/>
      </c>
      <c r="G55" s="16" t="str">
        <f>IF(Bordero!B62="","",Bordero!F62)</f>
        <v/>
      </c>
      <c r="H55" s="16" t="str">
        <f>IF(Bordero!B62="","",Bordero!E62)</f>
        <v/>
      </c>
      <c r="I55" s="41" t="str">
        <f>IF(Bordero!B62="","",Bordero!B62)</f>
        <v/>
      </c>
      <c r="J55" s="40" t="str">
        <f>IF(Bordero!B62="","",Bordero!C62)</f>
        <v/>
      </c>
      <c r="K55" s="42" t="str">
        <f>IF(Bordero!B62="","",Bordero!K62)</f>
        <v/>
      </c>
      <c r="L55" s="134" t="str">
        <f>IF(Bordero!B62="","",Bordero!$C$3)</f>
        <v/>
      </c>
      <c r="M55" s="43" t="str">
        <f>IF(Bordero!B62="","",Bordero!$C$4)</f>
        <v/>
      </c>
      <c r="N55" s="42" t="str">
        <f>IF(Bordero!B62="","","sim")</f>
        <v/>
      </c>
      <c r="O55" s="42" t="str">
        <f>IF(Bordero!B62="","","duplicata")</f>
        <v/>
      </c>
      <c r="P55" s="135" t="str">
        <f t="shared" si="5"/>
        <v/>
      </c>
      <c r="Q55" s="47" t="str">
        <f>IF(Bordero!B62="","",(1-(((Bordero!$I$6)+1)^R55))*F55*-1)</f>
        <v/>
      </c>
      <c r="R55" s="33" t="str">
        <f>IF(Bordero!B62="","",(X55-Bordero!$H$1)/30)</f>
        <v/>
      </c>
      <c r="S55" s="45" t="str">
        <f>Bordero!$C$5</f>
        <v>Gustavo Oliveira</v>
      </c>
      <c r="T55" s="45" t="str">
        <f>REPLACE(Bordero!$E$3,3,50,"")</f>
        <v>Co</v>
      </c>
      <c r="U55" t="str">
        <f t="shared" si="1"/>
        <v>Gustavo Oliveira/Co/</v>
      </c>
      <c r="W55">
        <f t="shared" si="6"/>
        <v>7</v>
      </c>
      <c r="X55" s="9" t="e">
        <f t="shared" si="7"/>
        <v>#VALUE!</v>
      </c>
    </row>
    <row r="56" spans="1:24">
      <c r="A56" s="39" t="str">
        <f>IF(Bordero!B63="","",IF(Bordero!$G$3="Product",Bordero!J63,Bordero!D63))</f>
        <v/>
      </c>
      <c r="B56" s="39" t="str">
        <f>IF(Bordero!B63="","",Bordero!D63)</f>
        <v/>
      </c>
      <c r="C56" s="39" t="str">
        <f>IF(Bordero!B63="","",U56)</f>
        <v/>
      </c>
      <c r="D56" s="40" t="str">
        <f>IF(Bordero!B63="","",Bordero!$G$3)</f>
        <v/>
      </c>
      <c r="E56" s="22" t="str">
        <f>IF(Bordero!B63="","",(F56-Q56-Simulador!$H$6))</f>
        <v/>
      </c>
      <c r="F56" s="22" t="str">
        <f>IF(Bordero!B63="","",Bordero!I63)</f>
        <v/>
      </c>
      <c r="G56" s="16" t="str">
        <f>IF(Bordero!B63="","",Bordero!F63)</f>
        <v/>
      </c>
      <c r="H56" s="16" t="str">
        <f>IF(Bordero!B63="","",Bordero!E63)</f>
        <v/>
      </c>
      <c r="I56" s="41" t="str">
        <f>IF(Bordero!B63="","",Bordero!B63)</f>
        <v/>
      </c>
      <c r="J56" s="40" t="str">
        <f>IF(Bordero!B63="","",Bordero!C63)</f>
        <v/>
      </c>
      <c r="K56" s="42" t="str">
        <f>IF(Bordero!B63="","",Bordero!K63)</f>
        <v/>
      </c>
      <c r="L56" s="134" t="str">
        <f>IF(Bordero!B63="","",Bordero!$C$3)</f>
        <v/>
      </c>
      <c r="M56" s="43" t="str">
        <f>IF(Bordero!B63="","",Bordero!$C$4)</f>
        <v/>
      </c>
      <c r="N56" s="42" t="str">
        <f>IF(Bordero!B63="","","sim")</f>
        <v/>
      </c>
      <c r="O56" s="42" t="str">
        <f>IF(Bordero!B63="","","duplicata")</f>
        <v/>
      </c>
      <c r="P56" s="135" t="str">
        <f t="shared" si="5"/>
        <v/>
      </c>
      <c r="Q56" s="47" t="str">
        <f>IF(Bordero!B63="","",(1-(((Bordero!$I$6)+1)^R56))*F56*-1)</f>
        <v/>
      </c>
      <c r="R56" s="33" t="str">
        <f>IF(Bordero!B63="","",(X56-Bordero!$H$1)/30)</f>
        <v/>
      </c>
      <c r="S56" s="45" t="str">
        <f>Bordero!$C$5</f>
        <v>Gustavo Oliveira</v>
      </c>
      <c r="T56" s="45" t="str">
        <f>REPLACE(Bordero!$E$3,3,50,"")</f>
        <v>Co</v>
      </c>
      <c r="U56" t="str">
        <f t="shared" si="1"/>
        <v>Gustavo Oliveira/Co/</v>
      </c>
      <c r="W56">
        <f t="shared" si="6"/>
        <v>7</v>
      </c>
      <c r="X56" s="9" t="e">
        <f t="shared" si="7"/>
        <v>#VALUE!</v>
      </c>
    </row>
    <row r="57" spans="1:24">
      <c r="A57" s="39" t="str">
        <f>IF(Bordero!B64="","",IF(Bordero!$G$3="Product",Bordero!J64,Bordero!D64))</f>
        <v/>
      </c>
      <c r="B57" s="39" t="str">
        <f>IF(Bordero!B64="","",Bordero!D64)</f>
        <v/>
      </c>
      <c r="C57" s="39" t="str">
        <f>IF(Bordero!B64="","",U57)</f>
        <v/>
      </c>
      <c r="D57" s="40" t="str">
        <f>IF(Bordero!B64="","",Bordero!$G$3)</f>
        <v/>
      </c>
      <c r="E57" s="22" t="str">
        <f>IF(Bordero!B64="","",(F57-Q57-Simulador!$H$6))</f>
        <v/>
      </c>
      <c r="F57" s="22" t="str">
        <f>IF(Bordero!B64="","",Bordero!I64)</f>
        <v/>
      </c>
      <c r="G57" s="16" t="str">
        <f>IF(Bordero!B64="","",Bordero!F64)</f>
        <v/>
      </c>
      <c r="H57" s="16" t="str">
        <f>IF(Bordero!B64="","",Bordero!E64)</f>
        <v/>
      </c>
      <c r="I57" s="41" t="str">
        <f>IF(Bordero!B64="","",Bordero!B64)</f>
        <v/>
      </c>
      <c r="J57" s="40" t="str">
        <f>IF(Bordero!B64="","",Bordero!C64)</f>
        <v/>
      </c>
      <c r="K57" s="42" t="str">
        <f>IF(Bordero!B64="","",Bordero!K64)</f>
        <v/>
      </c>
      <c r="L57" s="134" t="str">
        <f>IF(Bordero!B64="","",Bordero!$C$3)</f>
        <v/>
      </c>
      <c r="M57" s="43" t="str">
        <f>IF(Bordero!B64="","",Bordero!$C$4)</f>
        <v/>
      </c>
      <c r="N57" s="42" t="str">
        <f>IF(Bordero!B64="","","sim")</f>
        <v/>
      </c>
      <c r="O57" s="42" t="str">
        <f>IF(Bordero!B64="","","duplicata")</f>
        <v/>
      </c>
      <c r="P57" s="135" t="str">
        <f t="shared" si="5"/>
        <v/>
      </c>
      <c r="Q57" s="47" t="str">
        <f>IF(Bordero!B64="","",(1-(((Bordero!$I$6)+1)^R57))*F57*-1)</f>
        <v/>
      </c>
      <c r="R57" s="33" t="str">
        <f>IF(Bordero!B64="","",(X57-Bordero!$H$1)/30)</f>
        <v/>
      </c>
      <c r="S57" s="45" t="str">
        <f>Bordero!$C$5</f>
        <v>Gustavo Oliveira</v>
      </c>
      <c r="T57" s="45" t="str">
        <f>REPLACE(Bordero!$E$3,3,50,"")</f>
        <v>Co</v>
      </c>
      <c r="U57" t="str">
        <f t="shared" si="1"/>
        <v>Gustavo Oliveira/Co/</v>
      </c>
      <c r="W57">
        <f t="shared" si="6"/>
        <v>7</v>
      </c>
      <c r="X57" s="9" t="e">
        <f t="shared" si="7"/>
        <v>#VALUE!</v>
      </c>
    </row>
    <row r="58" spans="1:24">
      <c r="A58" s="39" t="str">
        <f>IF(Bordero!B65="","",IF(Bordero!$G$3="Product",Bordero!J65,Bordero!D65))</f>
        <v/>
      </c>
      <c r="B58" s="39" t="str">
        <f>IF(Bordero!B65="","",Bordero!D65)</f>
        <v/>
      </c>
      <c r="C58" s="39" t="str">
        <f>IF(Bordero!B65="","",U58)</f>
        <v/>
      </c>
      <c r="D58" s="40" t="str">
        <f>IF(Bordero!B65="","",Bordero!$G$3)</f>
        <v/>
      </c>
      <c r="E58" s="22" t="str">
        <f>IF(Bordero!B65="","",(F58-Q58-Simulador!$H$6))</f>
        <v/>
      </c>
      <c r="F58" s="22" t="str">
        <f>IF(Bordero!B65="","",Bordero!I65)</f>
        <v/>
      </c>
      <c r="G58" s="16" t="str">
        <f>IF(Bordero!B65="","",Bordero!F65)</f>
        <v/>
      </c>
      <c r="H58" s="16" t="str">
        <f>IF(Bordero!B65="","",Bordero!E65)</f>
        <v/>
      </c>
      <c r="I58" s="41" t="str">
        <f>IF(Bordero!B65="","",Bordero!B65)</f>
        <v/>
      </c>
      <c r="J58" s="40" t="str">
        <f>IF(Bordero!B65="","",Bordero!C65)</f>
        <v/>
      </c>
      <c r="K58" s="42" t="str">
        <f>IF(Bordero!B65="","",Bordero!K65)</f>
        <v/>
      </c>
      <c r="L58" s="134" t="str">
        <f>IF(Bordero!B65="","",Bordero!$C$3)</f>
        <v/>
      </c>
      <c r="M58" s="43" t="str">
        <f>IF(Bordero!B65="","",Bordero!$C$4)</f>
        <v/>
      </c>
      <c r="N58" s="42" t="str">
        <f>IF(Bordero!B65="","","sim")</f>
        <v/>
      </c>
      <c r="O58" s="42" t="str">
        <f>IF(Bordero!B65="","","duplicata")</f>
        <v/>
      </c>
      <c r="P58" s="135" t="str">
        <f t="shared" si="5"/>
        <v/>
      </c>
      <c r="Q58" s="47" t="str">
        <f>IF(Bordero!B65="","",(1-(((Bordero!$I$6)+1)^R58))*F58*-1)</f>
        <v/>
      </c>
      <c r="R58" s="33" t="str">
        <f>IF(Bordero!B65="","",(X58-Bordero!$H$1)/30)</f>
        <v/>
      </c>
      <c r="S58" s="45" t="str">
        <f>Bordero!$C$5</f>
        <v>Gustavo Oliveira</v>
      </c>
      <c r="T58" s="45" t="str">
        <f>REPLACE(Bordero!$E$3,3,50,"")</f>
        <v>Co</v>
      </c>
      <c r="U58" t="str">
        <f t="shared" si="1"/>
        <v>Gustavo Oliveira/Co/</v>
      </c>
      <c r="W58">
        <f t="shared" si="6"/>
        <v>7</v>
      </c>
      <c r="X58" s="9" t="e">
        <f t="shared" si="7"/>
        <v>#VALUE!</v>
      </c>
    </row>
    <row r="59" spans="1:24">
      <c r="A59" s="39" t="str">
        <f>IF(Bordero!B66="","",IF(Bordero!$G$3="Product",Bordero!J66,Bordero!D66))</f>
        <v/>
      </c>
      <c r="B59" s="39" t="str">
        <f>IF(Bordero!B66="","",Bordero!D66)</f>
        <v/>
      </c>
      <c r="C59" s="39" t="str">
        <f>IF(Bordero!B66="","",U59)</f>
        <v/>
      </c>
      <c r="D59" s="40" t="str">
        <f>IF(Bordero!B66="","",Bordero!$G$3)</f>
        <v/>
      </c>
      <c r="E59" s="22" t="str">
        <f>IF(Bordero!B66="","",(F59-Q59-Simulador!$H$6))</f>
        <v/>
      </c>
      <c r="F59" s="22" t="str">
        <f>IF(Bordero!B66="","",Bordero!I66)</f>
        <v/>
      </c>
      <c r="G59" s="16" t="str">
        <f>IF(Bordero!B66="","",Bordero!F66)</f>
        <v/>
      </c>
      <c r="H59" s="16" t="str">
        <f>IF(Bordero!B66="","",Bordero!E66)</f>
        <v/>
      </c>
      <c r="I59" s="41" t="str">
        <f>IF(Bordero!B66="","",Bordero!B66)</f>
        <v/>
      </c>
      <c r="J59" s="40" t="str">
        <f>IF(Bordero!B66="","",Bordero!C66)</f>
        <v/>
      </c>
      <c r="K59" s="42" t="str">
        <f>IF(Bordero!B66="","",Bordero!K66)</f>
        <v/>
      </c>
      <c r="L59" s="134" t="str">
        <f>IF(Bordero!B66="","",Bordero!$C$3)</f>
        <v/>
      </c>
      <c r="M59" s="43" t="str">
        <f>IF(Bordero!B66="","",Bordero!$C$4)</f>
        <v/>
      </c>
      <c r="N59" s="42" t="str">
        <f>IF(Bordero!B66="","","sim")</f>
        <v/>
      </c>
      <c r="O59" s="42" t="str">
        <f>IF(Bordero!B66="","","duplicata")</f>
        <v/>
      </c>
      <c r="P59" s="135" t="str">
        <f t="shared" si="5"/>
        <v/>
      </c>
      <c r="Q59" s="47" t="str">
        <f>IF(Bordero!B66="","",(1-(((Bordero!$I$6)+1)^R59))*F59*-1)</f>
        <v/>
      </c>
      <c r="R59" s="33" t="str">
        <f>IF(Bordero!B66="","",(X59-Bordero!$H$1)/30)</f>
        <v/>
      </c>
      <c r="S59" s="45" t="str">
        <f>Bordero!$C$5</f>
        <v>Gustavo Oliveira</v>
      </c>
      <c r="T59" s="45" t="str">
        <f>REPLACE(Bordero!$E$3,3,50,"")</f>
        <v>Co</v>
      </c>
      <c r="U59" t="str">
        <f t="shared" si="1"/>
        <v>Gustavo Oliveira/Co/</v>
      </c>
      <c r="W59">
        <f t="shared" si="6"/>
        <v>7</v>
      </c>
      <c r="X59" s="9" t="e">
        <f t="shared" si="7"/>
        <v>#VALUE!</v>
      </c>
    </row>
    <row r="60" spans="1:24">
      <c r="A60" s="39" t="str">
        <f>IF(Bordero!B67="","",IF(Bordero!$G$3="Product",Bordero!J67,Bordero!D67))</f>
        <v/>
      </c>
      <c r="B60" s="39" t="str">
        <f>IF(Bordero!B67="","",Bordero!D67)</f>
        <v/>
      </c>
      <c r="C60" s="39" t="str">
        <f>IF(Bordero!B67="","",U60)</f>
        <v/>
      </c>
      <c r="D60" s="40" t="str">
        <f>IF(Bordero!B67="","",Bordero!$G$3)</f>
        <v/>
      </c>
      <c r="E60" s="22" t="str">
        <f>IF(Bordero!B67="","",(F60-Q60-Simulador!$H$6))</f>
        <v/>
      </c>
      <c r="F60" s="22" t="str">
        <f>IF(Bordero!B67="","",Bordero!I67)</f>
        <v/>
      </c>
      <c r="G60" s="16" t="str">
        <f>IF(Bordero!B67="","",Bordero!F67)</f>
        <v/>
      </c>
      <c r="H60" s="16" t="str">
        <f>IF(Bordero!B67="","",Bordero!E67)</f>
        <v/>
      </c>
      <c r="I60" s="41" t="str">
        <f>IF(Bordero!B67="","",Bordero!B67)</f>
        <v/>
      </c>
      <c r="J60" s="40" t="str">
        <f>IF(Bordero!B67="","",Bordero!C67)</f>
        <v/>
      </c>
      <c r="K60" s="42" t="str">
        <f>IF(Bordero!B67="","",Bordero!K67)</f>
        <v/>
      </c>
      <c r="L60" s="134" t="str">
        <f>IF(Bordero!B67="","",Bordero!$C$3)</f>
        <v/>
      </c>
      <c r="M60" s="43" t="str">
        <f>IF(Bordero!B67="","",Bordero!$C$4)</f>
        <v/>
      </c>
      <c r="N60" s="42" t="str">
        <f>IF(Bordero!B67="","","sim")</f>
        <v/>
      </c>
      <c r="O60" s="42" t="str">
        <f>IF(Bordero!B67="","","duplicata")</f>
        <v/>
      </c>
      <c r="P60" s="135" t="str">
        <f t="shared" si="5"/>
        <v/>
      </c>
      <c r="Q60" s="47" t="str">
        <f>IF(Bordero!B67="","",(1-(((Bordero!$I$6)+1)^R60))*F60*-1)</f>
        <v/>
      </c>
      <c r="R60" s="33" t="str">
        <f>IF(Bordero!B67="","",(X60-Bordero!$H$1)/30)</f>
        <v/>
      </c>
      <c r="S60" s="45" t="str">
        <f>Bordero!$C$5</f>
        <v>Gustavo Oliveira</v>
      </c>
      <c r="T60" s="45" t="str">
        <f>REPLACE(Bordero!$E$3,3,50,"")</f>
        <v>Co</v>
      </c>
      <c r="U60" t="str">
        <f t="shared" si="1"/>
        <v>Gustavo Oliveira/Co/</v>
      </c>
      <c r="W60">
        <f t="shared" si="6"/>
        <v>7</v>
      </c>
      <c r="X60" s="9" t="e">
        <f t="shared" si="7"/>
        <v>#VALUE!</v>
      </c>
    </row>
    <row r="61" spans="1:24">
      <c r="A61" s="39" t="str">
        <f>IF(Bordero!B68="","",IF(Bordero!$G$3="Product",Bordero!J68,Bordero!D68))</f>
        <v/>
      </c>
      <c r="B61" s="39" t="str">
        <f>IF(Bordero!B68="","",Bordero!D68)</f>
        <v/>
      </c>
      <c r="C61" s="39" t="str">
        <f>IF(Bordero!B68="","",U61)</f>
        <v/>
      </c>
      <c r="D61" s="40" t="str">
        <f>IF(Bordero!B68="","",Bordero!$G$3)</f>
        <v/>
      </c>
      <c r="E61" s="22" t="str">
        <f>IF(Bordero!B68="","",(F61-Q61-Simulador!$H$6))</f>
        <v/>
      </c>
      <c r="F61" s="22" t="str">
        <f>IF(Bordero!B68="","",Bordero!I68)</f>
        <v/>
      </c>
      <c r="G61" s="16" t="str">
        <f>IF(Bordero!B68="","",Bordero!F68)</f>
        <v/>
      </c>
      <c r="H61" s="16" t="str">
        <f>IF(Bordero!B68="","",Bordero!E68)</f>
        <v/>
      </c>
      <c r="I61" s="41" t="str">
        <f>IF(Bordero!B68="","",Bordero!B68)</f>
        <v/>
      </c>
      <c r="J61" s="40" t="str">
        <f>IF(Bordero!B68="","",Bordero!C68)</f>
        <v/>
      </c>
      <c r="K61" s="42" t="str">
        <f>IF(Bordero!B68="","",Bordero!K68)</f>
        <v/>
      </c>
      <c r="L61" s="134" t="str">
        <f>IF(Bordero!B68="","",Bordero!$C$3)</f>
        <v/>
      </c>
      <c r="M61" s="43" t="str">
        <f>IF(Bordero!B68="","",Bordero!$C$4)</f>
        <v/>
      </c>
      <c r="N61" s="42" t="str">
        <f>IF(Bordero!B68="","","sim")</f>
        <v/>
      </c>
      <c r="O61" s="42" t="str">
        <f>IF(Bordero!B68="","","duplicata")</f>
        <v/>
      </c>
      <c r="P61" s="135" t="str">
        <f t="shared" si="5"/>
        <v/>
      </c>
      <c r="Q61" s="47" t="str">
        <f>IF(Bordero!B68="","",(1-(((Bordero!$I$6)+1)^R61))*F61*-1)</f>
        <v/>
      </c>
      <c r="R61" s="33" t="str">
        <f>IF(Bordero!B68="","",(X61-Bordero!$H$1)/30)</f>
        <v/>
      </c>
      <c r="S61" s="45" t="str">
        <f>Bordero!$C$5</f>
        <v>Gustavo Oliveira</v>
      </c>
      <c r="T61" s="45" t="str">
        <f>REPLACE(Bordero!$E$3,3,50,"")</f>
        <v>Co</v>
      </c>
      <c r="U61" t="str">
        <f t="shared" si="1"/>
        <v>Gustavo Oliveira/Co/</v>
      </c>
      <c r="W61">
        <f t="shared" si="6"/>
        <v>7</v>
      </c>
      <c r="X61" s="9" t="e">
        <f t="shared" si="7"/>
        <v>#VALUE!</v>
      </c>
    </row>
    <row r="62" spans="1:24">
      <c r="A62" s="39" t="str">
        <f>IF(Bordero!B69="","",IF(Bordero!$G$3="Product",Bordero!J69,Bordero!D69))</f>
        <v/>
      </c>
      <c r="B62" s="39" t="str">
        <f>IF(Bordero!B69="","",Bordero!D69)</f>
        <v/>
      </c>
      <c r="C62" s="39" t="str">
        <f>IF(Bordero!B69="","",U62)</f>
        <v/>
      </c>
      <c r="D62" s="40" t="str">
        <f>IF(Bordero!B69="","",Bordero!$G$3)</f>
        <v/>
      </c>
      <c r="E62" s="22" t="str">
        <f>IF(Bordero!B69="","",(F62-Q62-Simulador!$H$6))</f>
        <v/>
      </c>
      <c r="F62" s="22" t="str">
        <f>IF(Bordero!B69="","",Bordero!I69)</f>
        <v/>
      </c>
      <c r="G62" s="16" t="str">
        <f>IF(Bordero!B69="","",Bordero!F69)</f>
        <v/>
      </c>
      <c r="H62" s="16" t="str">
        <f>IF(Bordero!B69="","",Bordero!E69)</f>
        <v/>
      </c>
      <c r="I62" s="41" t="str">
        <f>IF(Bordero!B69="","",Bordero!B69)</f>
        <v/>
      </c>
      <c r="J62" s="40" t="str">
        <f>IF(Bordero!B69="","",Bordero!C69)</f>
        <v/>
      </c>
      <c r="K62" s="42" t="str">
        <f>IF(Bordero!B69="","",Bordero!K69)</f>
        <v/>
      </c>
      <c r="L62" s="134" t="str">
        <f>IF(Bordero!B69="","",Bordero!$C$3)</f>
        <v/>
      </c>
      <c r="M62" s="43" t="str">
        <f>IF(Bordero!B69="","",Bordero!$C$4)</f>
        <v/>
      </c>
      <c r="N62" s="42" t="str">
        <f>IF(Bordero!B69="","","sim")</f>
        <v/>
      </c>
      <c r="O62" s="42" t="str">
        <f>IF(Bordero!B69="","","duplicata")</f>
        <v/>
      </c>
      <c r="P62" s="135" t="str">
        <f t="shared" si="5"/>
        <v/>
      </c>
      <c r="Q62" s="47" t="str">
        <f>IF(Bordero!B69="","",(1-(((Bordero!$I$6)+1)^R62))*F62*-1)</f>
        <v/>
      </c>
      <c r="R62" s="33" t="str">
        <f>IF(Bordero!B69="","",(X62-Bordero!$H$1)/30)</f>
        <v/>
      </c>
      <c r="S62" s="45" t="str">
        <f>Bordero!$C$5</f>
        <v>Gustavo Oliveira</v>
      </c>
      <c r="T62" s="45" t="str">
        <f>REPLACE(Bordero!$E$3,3,50,"")</f>
        <v>Co</v>
      </c>
      <c r="U62" t="str">
        <f t="shared" si="1"/>
        <v>Gustavo Oliveira/Co/</v>
      </c>
      <c r="W62">
        <f t="shared" si="6"/>
        <v>7</v>
      </c>
      <c r="X62" s="9" t="e">
        <f t="shared" si="7"/>
        <v>#VALUE!</v>
      </c>
    </row>
    <row r="63" spans="1:24">
      <c r="A63" s="39" t="str">
        <f>IF(Bordero!B70="","",IF(Bordero!$G$3="Product",Bordero!J70,Bordero!D70))</f>
        <v/>
      </c>
      <c r="B63" s="39" t="str">
        <f>IF(Bordero!B70="","",Bordero!D70)</f>
        <v/>
      </c>
      <c r="C63" s="39" t="str">
        <f>IF(Bordero!B70="","",U63)</f>
        <v/>
      </c>
      <c r="D63" s="40" t="str">
        <f>IF(Bordero!B70="","",Bordero!$G$3)</f>
        <v/>
      </c>
      <c r="E63" s="22" t="str">
        <f>IF(Bordero!B70="","",(F63-Q63-Simulador!$H$6))</f>
        <v/>
      </c>
      <c r="F63" s="22" t="str">
        <f>IF(Bordero!B70="","",Bordero!I70)</f>
        <v/>
      </c>
      <c r="G63" s="16" t="str">
        <f>IF(Bordero!B70="","",Bordero!F70)</f>
        <v/>
      </c>
      <c r="H63" s="16" t="str">
        <f>IF(Bordero!B70="","",Bordero!E70)</f>
        <v/>
      </c>
      <c r="I63" s="41" t="str">
        <f>IF(Bordero!B70="","",Bordero!B70)</f>
        <v/>
      </c>
      <c r="J63" s="40" t="str">
        <f>IF(Bordero!B70="","",Bordero!C70)</f>
        <v/>
      </c>
      <c r="K63" s="42" t="str">
        <f>IF(Bordero!B70="","",Bordero!K70)</f>
        <v/>
      </c>
      <c r="L63" s="134" t="str">
        <f>IF(Bordero!B70="","",Bordero!$C$3)</f>
        <v/>
      </c>
      <c r="M63" s="43" t="str">
        <f>IF(Bordero!B70="","",Bordero!$C$4)</f>
        <v/>
      </c>
      <c r="N63" s="42" t="str">
        <f>IF(Bordero!B70="","","sim")</f>
        <v/>
      </c>
      <c r="O63" s="42" t="str">
        <f>IF(Bordero!B70="","","duplicata")</f>
        <v/>
      </c>
      <c r="P63" s="135" t="str">
        <f t="shared" si="5"/>
        <v/>
      </c>
      <c r="Q63" s="47" t="str">
        <f>IF(Bordero!B70="","",(1-(((Bordero!$I$6)+1)^R63))*F63*-1)</f>
        <v/>
      </c>
      <c r="R63" s="33" t="str">
        <f>IF(Bordero!B70="","",(X63-Bordero!$H$1)/30)</f>
        <v/>
      </c>
      <c r="S63" s="45" t="str">
        <f>Bordero!$C$5</f>
        <v>Gustavo Oliveira</v>
      </c>
      <c r="T63" s="45" t="str">
        <f>REPLACE(Bordero!$E$3,3,50,"")</f>
        <v>Co</v>
      </c>
      <c r="U63" t="str">
        <f t="shared" si="1"/>
        <v>Gustavo Oliveira/Co/</v>
      </c>
      <c r="W63">
        <f t="shared" si="6"/>
        <v>7</v>
      </c>
      <c r="X63" s="9" t="e">
        <f t="shared" si="7"/>
        <v>#VALUE!</v>
      </c>
    </row>
    <row r="64" spans="1:24">
      <c r="A64" s="39" t="str">
        <f>IF(Bordero!B71="","",IF(Bordero!$G$3="Product",Bordero!J71,Bordero!D71))</f>
        <v/>
      </c>
      <c r="B64" s="39" t="str">
        <f>IF(Bordero!B71="","",Bordero!D71)</f>
        <v/>
      </c>
      <c r="C64" s="39" t="str">
        <f>IF(Bordero!B71="","",U64)</f>
        <v/>
      </c>
      <c r="D64" s="40" t="str">
        <f>IF(Bordero!B71="","",Bordero!$G$3)</f>
        <v/>
      </c>
      <c r="E64" s="22" t="str">
        <f>IF(Bordero!B71="","",(F64-Q64-Simulador!$H$6))</f>
        <v/>
      </c>
      <c r="F64" s="22" t="str">
        <f>IF(Bordero!B71="","",Bordero!I71)</f>
        <v/>
      </c>
      <c r="G64" s="16" t="str">
        <f>IF(Bordero!B71="","",Bordero!F71)</f>
        <v/>
      </c>
      <c r="H64" s="16" t="str">
        <f>IF(Bordero!B71="","",Bordero!E71)</f>
        <v/>
      </c>
      <c r="I64" s="41" t="str">
        <f>IF(Bordero!B71="","",Bordero!B71)</f>
        <v/>
      </c>
      <c r="J64" s="40" t="str">
        <f>IF(Bordero!B71="","",Bordero!C71)</f>
        <v/>
      </c>
      <c r="K64" s="42" t="str">
        <f>IF(Bordero!B71="","",Bordero!K71)</f>
        <v/>
      </c>
      <c r="L64" s="134" t="str">
        <f>IF(Bordero!B71="","",Bordero!$C$3)</f>
        <v/>
      </c>
      <c r="M64" s="43" t="str">
        <f>IF(Bordero!B71="","",Bordero!$C$4)</f>
        <v/>
      </c>
      <c r="N64" s="42" t="str">
        <f>IF(Bordero!B71="","","sim")</f>
        <v/>
      </c>
      <c r="O64" s="42" t="str">
        <f>IF(Bordero!B71="","","duplicata")</f>
        <v/>
      </c>
      <c r="P64" s="135" t="str">
        <f t="shared" si="5"/>
        <v/>
      </c>
      <c r="Q64" s="47" t="str">
        <f>IF(Bordero!B71="","",(1-(((Bordero!$I$6)+1)^R64))*F64*-1)</f>
        <v/>
      </c>
      <c r="R64" s="33" t="str">
        <f>IF(Bordero!B71="","",(X64-Bordero!$H$1)/30)</f>
        <v/>
      </c>
      <c r="S64" s="45" t="str">
        <f>Bordero!$C$5</f>
        <v>Gustavo Oliveira</v>
      </c>
      <c r="T64" s="45" t="str">
        <f>REPLACE(Bordero!$E$3,3,50,"")</f>
        <v>Co</v>
      </c>
      <c r="U64" t="str">
        <f t="shared" si="1"/>
        <v>Gustavo Oliveira/Co/</v>
      </c>
      <c r="W64">
        <f t="shared" si="6"/>
        <v>7</v>
      </c>
      <c r="X64" s="9" t="e">
        <f t="shared" si="7"/>
        <v>#VALUE!</v>
      </c>
    </row>
    <row r="65" spans="1:24">
      <c r="A65" s="39" t="str">
        <f>IF(Bordero!B72="","",IF(Bordero!$G$3="Product",Bordero!J72,Bordero!D72))</f>
        <v/>
      </c>
      <c r="B65" s="39" t="str">
        <f>IF(Bordero!B72="","",Bordero!D72)</f>
        <v/>
      </c>
      <c r="C65" s="39" t="str">
        <f>IF(Bordero!B72="","",U65)</f>
        <v/>
      </c>
      <c r="D65" s="40" t="str">
        <f>IF(Bordero!B72="","",Bordero!$G$3)</f>
        <v/>
      </c>
      <c r="E65" s="22" t="str">
        <f>IF(Bordero!B72="","",(F65-Q65-Simulador!$H$6))</f>
        <v/>
      </c>
      <c r="F65" s="22" t="str">
        <f>IF(Bordero!B72="","",Bordero!I72)</f>
        <v/>
      </c>
      <c r="G65" s="16" t="str">
        <f>IF(Bordero!B72="","",Bordero!F72)</f>
        <v/>
      </c>
      <c r="H65" s="16" t="str">
        <f>IF(Bordero!B72="","",Bordero!E72)</f>
        <v/>
      </c>
      <c r="I65" s="41" t="str">
        <f>IF(Bordero!B72="","",Bordero!B72)</f>
        <v/>
      </c>
      <c r="J65" s="40" t="str">
        <f>IF(Bordero!B72="","",Bordero!C72)</f>
        <v/>
      </c>
      <c r="K65" s="42" t="str">
        <f>IF(Bordero!B72="","",Bordero!K72)</f>
        <v/>
      </c>
      <c r="L65" s="134" t="str">
        <f>IF(Bordero!B72="","",Bordero!$C$3)</f>
        <v/>
      </c>
      <c r="M65" s="43" t="str">
        <f>IF(Bordero!B72="","",Bordero!$C$4)</f>
        <v/>
      </c>
      <c r="N65" s="42" t="str">
        <f>IF(Bordero!B72="","","sim")</f>
        <v/>
      </c>
      <c r="O65" s="42" t="str">
        <f>IF(Bordero!B72="","","duplicata")</f>
        <v/>
      </c>
      <c r="P65" s="135" t="str">
        <f t="shared" si="5"/>
        <v/>
      </c>
      <c r="Q65" s="47" t="str">
        <f>IF(Bordero!B72="","",(1-(((Bordero!$I$6)+1)^R65))*F65*-1)</f>
        <v/>
      </c>
      <c r="R65" s="33" t="str">
        <f>IF(Bordero!B72="","",(X65-Bordero!$H$1)/30)</f>
        <v/>
      </c>
      <c r="S65" s="45" t="str">
        <f>Bordero!$C$5</f>
        <v>Gustavo Oliveira</v>
      </c>
      <c r="T65" s="45" t="str">
        <f>REPLACE(Bordero!$E$3,3,50,"")</f>
        <v>Co</v>
      </c>
      <c r="U65" t="str">
        <f t="shared" si="1"/>
        <v>Gustavo Oliveira/Co/</v>
      </c>
      <c r="W65">
        <f t="shared" si="6"/>
        <v>7</v>
      </c>
      <c r="X65" s="9" t="e">
        <f t="shared" si="7"/>
        <v>#VALUE!</v>
      </c>
    </row>
    <row r="66" spans="1:24">
      <c r="A66" s="39" t="str">
        <f>IF(Bordero!B73="","",IF(Bordero!$G$3="Product",Bordero!J73,Bordero!D73))</f>
        <v/>
      </c>
      <c r="B66" s="39" t="str">
        <f>IF(Bordero!B73="","",Bordero!D73)</f>
        <v/>
      </c>
      <c r="C66" s="39" t="str">
        <f>IF(Bordero!B73="","",U66)</f>
        <v/>
      </c>
      <c r="D66" s="40" t="str">
        <f>IF(Bordero!B73="","",Bordero!$G$3)</f>
        <v/>
      </c>
      <c r="E66" s="22" t="str">
        <f>IF(Bordero!B73="","",(F66-Q66-Simulador!$H$6))</f>
        <v/>
      </c>
      <c r="F66" s="22" t="str">
        <f>IF(Bordero!B73="","",Bordero!I73)</f>
        <v/>
      </c>
      <c r="G66" s="16" t="str">
        <f>IF(Bordero!B73="","",Bordero!F73)</f>
        <v/>
      </c>
      <c r="H66" s="16" t="str">
        <f>IF(Bordero!B73="","",Bordero!E73)</f>
        <v/>
      </c>
      <c r="I66" s="41" t="str">
        <f>IF(Bordero!B73="","",Bordero!B73)</f>
        <v/>
      </c>
      <c r="J66" s="40" t="str">
        <f>IF(Bordero!B73="","",Bordero!C73)</f>
        <v/>
      </c>
      <c r="K66" s="42" t="str">
        <f>IF(Bordero!B73="","",Bordero!K73)</f>
        <v/>
      </c>
      <c r="L66" s="134" t="str">
        <f>IF(Bordero!B73="","",Bordero!$C$3)</f>
        <v/>
      </c>
      <c r="M66" s="43" t="str">
        <f>IF(Bordero!B73="","",Bordero!$C$4)</f>
        <v/>
      </c>
      <c r="N66" s="42" t="str">
        <f>IF(Bordero!B73="","","sim")</f>
        <v/>
      </c>
      <c r="O66" s="42" t="str">
        <f>IF(Bordero!B73="","","duplicata")</f>
        <v/>
      </c>
      <c r="P66" s="135" t="str">
        <f t="shared" si="5"/>
        <v/>
      </c>
      <c r="Q66" s="47" t="str">
        <f>IF(Bordero!B73="","",(1-(((Bordero!$I$6)+1)^R66))*F66*-1)</f>
        <v/>
      </c>
      <c r="R66" s="33" t="str">
        <f>IF(Bordero!B73="","",(X66-Bordero!$H$1)/30)</f>
        <v/>
      </c>
      <c r="S66" s="45" t="str">
        <f>Bordero!$C$5</f>
        <v>Gustavo Oliveira</v>
      </c>
      <c r="T66" s="45" t="str">
        <f>REPLACE(Bordero!$E$3,3,50,"")</f>
        <v>Co</v>
      </c>
      <c r="U66" t="str">
        <f t="shared" si="1"/>
        <v>Gustavo Oliveira/Co/</v>
      </c>
      <c r="W66">
        <f t="shared" si="6"/>
        <v>7</v>
      </c>
      <c r="X66" s="9" t="e">
        <f t="shared" si="7"/>
        <v>#VALUE!</v>
      </c>
    </row>
    <row r="67" spans="1:24">
      <c r="A67" s="39" t="str">
        <f>IF(Bordero!B74="","",IF(Bordero!$G$3="Product",Bordero!J74,Bordero!D74))</f>
        <v/>
      </c>
      <c r="B67" s="39" t="str">
        <f>IF(Bordero!B74="","",Bordero!D74)</f>
        <v/>
      </c>
      <c r="C67" s="39" t="str">
        <f>IF(Bordero!B74="","",U67)</f>
        <v/>
      </c>
      <c r="D67" s="40" t="str">
        <f>IF(Bordero!B74="","",Bordero!$G$3)</f>
        <v/>
      </c>
      <c r="E67" s="22" t="str">
        <f>IF(Bordero!B74="","",(F67-Q67-Simulador!$H$6))</f>
        <v/>
      </c>
      <c r="F67" s="22" t="str">
        <f>IF(Bordero!B74="","",Bordero!I74)</f>
        <v/>
      </c>
      <c r="G67" s="16" t="str">
        <f>IF(Bordero!B74="","",Bordero!F74)</f>
        <v/>
      </c>
      <c r="H67" s="16" t="str">
        <f>IF(Bordero!B74="","",Bordero!E74)</f>
        <v/>
      </c>
      <c r="I67" s="41" t="str">
        <f>IF(Bordero!B74="","",Bordero!B74)</f>
        <v/>
      </c>
      <c r="J67" s="40" t="str">
        <f>IF(Bordero!B74="","",Bordero!C74)</f>
        <v/>
      </c>
      <c r="K67" s="42" t="str">
        <f>IF(Bordero!B74="","",Bordero!K74)</f>
        <v/>
      </c>
      <c r="L67" s="134" t="str">
        <f>IF(Bordero!B74="","",Bordero!$C$3)</f>
        <v/>
      </c>
      <c r="M67" s="43" t="str">
        <f>IF(Bordero!B74="","",Bordero!$C$4)</f>
        <v/>
      </c>
      <c r="N67" s="42" t="str">
        <f>IF(Bordero!B74="","","sim")</f>
        <v/>
      </c>
      <c r="O67" s="42" t="str">
        <f>IF(Bordero!B74="","","duplicata")</f>
        <v/>
      </c>
      <c r="P67" s="135" t="str">
        <f t="shared" si="5"/>
        <v/>
      </c>
      <c r="Q67" s="47" t="str">
        <f>IF(Bordero!B74="","",(1-(((Bordero!$I$6)+1)^R67))*F67*-1)</f>
        <v/>
      </c>
      <c r="R67" s="33" t="str">
        <f>IF(Bordero!B74="","",(X67-Bordero!$H$1)/30)</f>
        <v/>
      </c>
      <c r="S67" s="45" t="str">
        <f>Bordero!$C$5</f>
        <v>Gustavo Oliveira</v>
      </c>
      <c r="T67" s="45" t="str">
        <f>REPLACE(Bordero!$E$3,3,50,"")</f>
        <v>Co</v>
      </c>
      <c r="U67" t="str">
        <f t="shared" ref="U67:U101" si="8">CONCATENATE(S67,"/",T67,"/",B67)</f>
        <v>Gustavo Oliveira/Co/</v>
      </c>
      <c r="W67">
        <f t="shared" si="6"/>
        <v>7</v>
      </c>
      <c r="X67" s="9" t="e">
        <f t="shared" si="7"/>
        <v>#VALUE!</v>
      </c>
    </row>
    <row r="68" spans="1:24">
      <c r="A68" s="39" t="str">
        <f>IF(Bordero!B75="","",IF(Bordero!$G$3="Product",Bordero!J75,Bordero!D75))</f>
        <v/>
      </c>
      <c r="B68" s="39" t="str">
        <f>IF(Bordero!B75="","",Bordero!D75)</f>
        <v/>
      </c>
      <c r="C68" s="39" t="str">
        <f>IF(Bordero!B75="","",U68)</f>
        <v/>
      </c>
      <c r="D68" s="40" t="str">
        <f>IF(Bordero!B75="","",Bordero!$G$3)</f>
        <v/>
      </c>
      <c r="E68" s="22" t="str">
        <f>IF(Bordero!B75="","",(F68-Q68-Simulador!$H$6))</f>
        <v/>
      </c>
      <c r="F68" s="22" t="str">
        <f>IF(Bordero!B75="","",Bordero!I75)</f>
        <v/>
      </c>
      <c r="G68" s="16" t="str">
        <f>IF(Bordero!B75="","",Bordero!F75)</f>
        <v/>
      </c>
      <c r="H68" s="16" t="str">
        <f>IF(Bordero!B75="","",Bordero!E75)</f>
        <v/>
      </c>
      <c r="I68" s="41" t="str">
        <f>IF(Bordero!B75="","",Bordero!B75)</f>
        <v/>
      </c>
      <c r="J68" s="40" t="str">
        <f>IF(Bordero!B75="","",Bordero!C75)</f>
        <v/>
      </c>
      <c r="K68" s="42" t="str">
        <f>IF(Bordero!B75="","",Bordero!K75)</f>
        <v/>
      </c>
      <c r="L68" s="134" t="str">
        <f>IF(Bordero!B75="","",Bordero!$C$3)</f>
        <v/>
      </c>
      <c r="M68" s="43" t="str">
        <f>IF(Bordero!B75="","",Bordero!$C$4)</f>
        <v/>
      </c>
      <c r="N68" s="42" t="str">
        <f>IF(Bordero!B75="","","sim")</f>
        <v/>
      </c>
      <c r="O68" s="42" t="str">
        <f>IF(Bordero!B75="","","duplicata")</f>
        <v/>
      </c>
      <c r="P68" s="135" t="str">
        <f t="shared" si="5"/>
        <v/>
      </c>
      <c r="Q68" s="47" t="str">
        <f>IF(Bordero!B75="","",(1-(((Bordero!$I$6)+1)^R68))*F68*-1)</f>
        <v/>
      </c>
      <c r="R68" s="33" t="str">
        <f>IF(Bordero!B75="","",(X68-Bordero!$H$1)/30)</f>
        <v/>
      </c>
      <c r="S68" s="45" t="str">
        <f>Bordero!$C$5</f>
        <v>Gustavo Oliveira</v>
      </c>
      <c r="T68" s="45" t="str">
        <f>REPLACE(Bordero!$E$3,3,50,"")</f>
        <v>Co</v>
      </c>
      <c r="U68" t="str">
        <f t="shared" si="8"/>
        <v>Gustavo Oliveira/Co/</v>
      </c>
      <c r="W68">
        <f t="shared" si="6"/>
        <v>7</v>
      </c>
      <c r="X68" s="9" t="e">
        <f t="shared" si="7"/>
        <v>#VALUE!</v>
      </c>
    </row>
    <row r="69" spans="1:24">
      <c r="A69" s="39" t="str">
        <f>IF(Bordero!B76="","",IF(Bordero!$G$3="Product",Bordero!J76,Bordero!D76))</f>
        <v/>
      </c>
      <c r="B69" s="39" t="str">
        <f>IF(Bordero!B76="","",Bordero!D76)</f>
        <v/>
      </c>
      <c r="C69" s="39" t="str">
        <f>IF(Bordero!B76="","",U69)</f>
        <v/>
      </c>
      <c r="D69" s="40" t="str">
        <f>IF(Bordero!B76="","",Bordero!$G$3)</f>
        <v/>
      </c>
      <c r="E69" s="22" t="str">
        <f>IF(Bordero!B76="","",(F69-Q69-Simulador!$H$6))</f>
        <v/>
      </c>
      <c r="F69" s="22" t="str">
        <f>IF(Bordero!B76="","",Bordero!I76)</f>
        <v/>
      </c>
      <c r="G69" s="16" t="str">
        <f>IF(Bordero!B76="","",Bordero!F76)</f>
        <v/>
      </c>
      <c r="H69" s="16" t="str">
        <f>IF(Bordero!B76="","",Bordero!E76)</f>
        <v/>
      </c>
      <c r="I69" s="41" t="str">
        <f>IF(Bordero!B76="","",Bordero!B76)</f>
        <v/>
      </c>
      <c r="J69" s="40" t="str">
        <f>IF(Bordero!B76="","",Bordero!C76)</f>
        <v/>
      </c>
      <c r="K69" s="42" t="str">
        <f>IF(Bordero!B76="","",Bordero!K76)</f>
        <v/>
      </c>
      <c r="L69" s="134" t="str">
        <f>IF(Bordero!B76="","",Bordero!$C$3)</f>
        <v/>
      </c>
      <c r="M69" s="43" t="str">
        <f>IF(Bordero!B76="","",Bordero!$C$4)</f>
        <v/>
      </c>
      <c r="N69" s="42" t="str">
        <f>IF(Bordero!B76="","","sim")</f>
        <v/>
      </c>
      <c r="O69" s="42" t="str">
        <f>IF(Bordero!B76="","","duplicata")</f>
        <v/>
      </c>
      <c r="P69" s="135" t="str">
        <f t="shared" si="5"/>
        <v/>
      </c>
      <c r="Q69" s="47" t="str">
        <f>IF(Bordero!B76="","",(1-(((Bordero!$I$6)+1)^R69))*F69*-1)</f>
        <v/>
      </c>
      <c r="R69" s="33" t="str">
        <f>IF(Bordero!B76="","",(X69-Bordero!$H$1)/30)</f>
        <v/>
      </c>
      <c r="S69" s="45" t="str">
        <f>Bordero!$C$5</f>
        <v>Gustavo Oliveira</v>
      </c>
      <c r="T69" s="45" t="str">
        <f>REPLACE(Bordero!$E$3,3,50,"")</f>
        <v>Co</v>
      </c>
      <c r="U69" t="str">
        <f t="shared" si="8"/>
        <v>Gustavo Oliveira/Co/</v>
      </c>
      <c r="W69">
        <f t="shared" si="6"/>
        <v>7</v>
      </c>
      <c r="X69" s="9" t="e">
        <f t="shared" si="7"/>
        <v>#VALUE!</v>
      </c>
    </row>
    <row r="70" spans="1:24">
      <c r="A70" s="39" t="str">
        <f>IF(Bordero!B77="","",IF(Bordero!$G$3="Product",Bordero!J77,Bordero!D77))</f>
        <v/>
      </c>
      <c r="B70" s="39" t="str">
        <f>IF(Bordero!B77="","",Bordero!D77)</f>
        <v/>
      </c>
      <c r="C70" s="39" t="str">
        <f>IF(Bordero!B77="","",U70)</f>
        <v/>
      </c>
      <c r="D70" s="40" t="str">
        <f>IF(Bordero!B77="","",Bordero!$G$3)</f>
        <v/>
      </c>
      <c r="E70" s="22" t="str">
        <f>IF(Bordero!B77="","",(F70-Q70-Simulador!$H$6))</f>
        <v/>
      </c>
      <c r="F70" s="22" t="str">
        <f>IF(Bordero!B77="","",Bordero!I77)</f>
        <v/>
      </c>
      <c r="G70" s="16" t="str">
        <f>IF(Bordero!B77="","",Bordero!F77)</f>
        <v/>
      </c>
      <c r="H70" s="16" t="str">
        <f>IF(Bordero!B77="","",Bordero!E77)</f>
        <v/>
      </c>
      <c r="I70" s="41" t="str">
        <f>IF(Bordero!B77="","",Bordero!B77)</f>
        <v/>
      </c>
      <c r="J70" s="40" t="str">
        <f>IF(Bordero!B77="","",Bordero!C77)</f>
        <v/>
      </c>
      <c r="K70" s="42" t="str">
        <f>IF(Bordero!B77="","",Bordero!K77)</f>
        <v/>
      </c>
      <c r="L70" s="134" t="str">
        <f>IF(Bordero!B77="","",Bordero!$C$3)</f>
        <v/>
      </c>
      <c r="M70" s="43" t="str">
        <f>IF(Bordero!B77="","",Bordero!$C$4)</f>
        <v/>
      </c>
      <c r="N70" s="42" t="str">
        <f>IF(Bordero!B77="","","sim")</f>
        <v/>
      </c>
      <c r="O70" s="42" t="str">
        <f>IF(Bordero!B77="","","duplicata")</f>
        <v/>
      </c>
      <c r="P70" s="135" t="str">
        <f t="shared" si="5"/>
        <v/>
      </c>
      <c r="Q70" s="47" t="str">
        <f>IF(Bordero!B77="","",(1-(((Bordero!$I$6)+1)^R70))*F70*-1)</f>
        <v/>
      </c>
      <c r="R70" s="33" t="str">
        <f>IF(Bordero!B77="","",(X70-Bordero!$H$1)/30)</f>
        <v/>
      </c>
      <c r="S70" s="45" t="str">
        <f>Bordero!$C$5</f>
        <v>Gustavo Oliveira</v>
      </c>
      <c r="T70" s="45" t="str">
        <f>REPLACE(Bordero!$E$3,3,50,"")</f>
        <v>Co</v>
      </c>
      <c r="U70" t="str">
        <f t="shared" si="8"/>
        <v>Gustavo Oliveira/Co/</v>
      </c>
      <c r="W70">
        <f t="shared" si="6"/>
        <v>7</v>
      </c>
      <c r="X70" s="9" t="e">
        <f t="shared" si="7"/>
        <v>#VALUE!</v>
      </c>
    </row>
    <row r="71" spans="1:24">
      <c r="A71" s="39" t="str">
        <f>IF(Bordero!B78="","",IF(Bordero!$G$3="Product",Bordero!J78,Bordero!D78))</f>
        <v/>
      </c>
      <c r="B71" s="39" t="str">
        <f>IF(Bordero!B78="","",Bordero!D78)</f>
        <v/>
      </c>
      <c r="C71" s="39" t="str">
        <f>IF(Bordero!B78="","",U71)</f>
        <v/>
      </c>
      <c r="D71" s="40" t="str">
        <f>IF(Bordero!B78="","",Bordero!$G$3)</f>
        <v/>
      </c>
      <c r="E71" s="22" t="str">
        <f>IF(Bordero!B78="","",(F71-Q71-Simulador!$H$6))</f>
        <v/>
      </c>
      <c r="F71" s="22" t="str">
        <f>IF(Bordero!B78="","",Bordero!I78)</f>
        <v/>
      </c>
      <c r="G71" s="16" t="str">
        <f>IF(Bordero!B78="","",Bordero!F78)</f>
        <v/>
      </c>
      <c r="H71" s="16" t="str">
        <f>IF(Bordero!B78="","",Bordero!E78)</f>
        <v/>
      </c>
      <c r="I71" s="41" t="str">
        <f>IF(Bordero!B78="","",Bordero!B78)</f>
        <v/>
      </c>
      <c r="J71" s="40" t="str">
        <f>IF(Bordero!B78="","",Bordero!C78)</f>
        <v/>
      </c>
      <c r="K71" s="42" t="str">
        <f>IF(Bordero!B78="","",Bordero!K78)</f>
        <v/>
      </c>
      <c r="L71" s="134" t="str">
        <f>IF(Bordero!B78="","",Bordero!$C$3)</f>
        <v/>
      </c>
      <c r="M71" s="43" t="str">
        <f>IF(Bordero!B78="","",Bordero!$C$4)</f>
        <v/>
      </c>
      <c r="N71" s="42" t="str">
        <f>IF(Bordero!B78="","","sim")</f>
        <v/>
      </c>
      <c r="O71" s="42" t="str">
        <f>IF(Bordero!B78="","","duplicata")</f>
        <v/>
      </c>
      <c r="P71" s="135" t="str">
        <f t="shared" si="5"/>
        <v/>
      </c>
      <c r="Q71" s="47" t="str">
        <f>IF(Bordero!B78="","",(1-(((Bordero!$I$6)+1)^R71))*F71*-1)</f>
        <v/>
      </c>
      <c r="R71" s="33" t="str">
        <f>IF(Bordero!B78="","",(X71-Bordero!$H$1)/30)</f>
        <v/>
      </c>
      <c r="S71" s="45" t="str">
        <f>Bordero!$C$5</f>
        <v>Gustavo Oliveira</v>
      </c>
      <c r="T71" s="45" t="str">
        <f>REPLACE(Bordero!$E$3,3,50,"")</f>
        <v>Co</v>
      </c>
      <c r="U71" t="str">
        <f t="shared" si="8"/>
        <v>Gustavo Oliveira/Co/</v>
      </c>
      <c r="W71">
        <f t="shared" si="6"/>
        <v>7</v>
      </c>
      <c r="X71" s="9" t="e">
        <f t="shared" si="7"/>
        <v>#VALUE!</v>
      </c>
    </row>
    <row r="72" spans="1:24">
      <c r="A72" s="39" t="str">
        <f>IF(Bordero!B79="","",IF(Bordero!$G$3="Product",Bordero!J79,Bordero!D79))</f>
        <v/>
      </c>
      <c r="B72" s="39" t="str">
        <f>IF(Bordero!B79="","",Bordero!D79)</f>
        <v/>
      </c>
      <c r="C72" s="39" t="str">
        <f>IF(Bordero!B79="","",U72)</f>
        <v/>
      </c>
      <c r="D72" s="40" t="str">
        <f>IF(Bordero!B79="","",Bordero!$G$3)</f>
        <v/>
      </c>
      <c r="E72" s="22" t="str">
        <f>IF(Bordero!B79="","",(F72-Q72-Simulador!$H$6))</f>
        <v/>
      </c>
      <c r="F72" s="22" t="str">
        <f>IF(Bordero!B79="","",Bordero!I79)</f>
        <v/>
      </c>
      <c r="G72" s="16" t="str">
        <f>IF(Bordero!B79="","",Bordero!F79)</f>
        <v/>
      </c>
      <c r="H72" s="16" t="str">
        <f>IF(Bordero!B79="","",Bordero!E79)</f>
        <v/>
      </c>
      <c r="I72" s="41" t="str">
        <f>IF(Bordero!B79="","",Bordero!B79)</f>
        <v/>
      </c>
      <c r="J72" s="40" t="str">
        <f>IF(Bordero!B79="","",Bordero!C79)</f>
        <v/>
      </c>
      <c r="K72" s="42" t="str">
        <f>IF(Bordero!B79="","",Bordero!K79)</f>
        <v/>
      </c>
      <c r="L72" s="134" t="str">
        <f>IF(Bordero!B79="","",Bordero!$C$3)</f>
        <v/>
      </c>
      <c r="M72" s="43" t="str">
        <f>IF(Bordero!B79="","",Bordero!$C$4)</f>
        <v/>
      </c>
      <c r="N72" s="42" t="str">
        <f>IF(Bordero!B79="","","sim")</f>
        <v/>
      </c>
      <c r="O72" s="42" t="str">
        <f>IF(Bordero!B79="","","duplicata")</f>
        <v/>
      </c>
      <c r="P72" s="135" t="str">
        <f t="shared" si="5"/>
        <v/>
      </c>
      <c r="Q72" s="47" t="str">
        <f>IF(Bordero!B79="","",(1-(((Bordero!$I$6)+1)^R72))*F72*-1)</f>
        <v/>
      </c>
      <c r="R72" s="33" t="str">
        <f>IF(Bordero!B79="","",(X72-Bordero!$H$1)/30)</f>
        <v/>
      </c>
      <c r="S72" s="45" t="str">
        <f>Bordero!$C$5</f>
        <v>Gustavo Oliveira</v>
      </c>
      <c r="T72" s="45" t="str">
        <f>REPLACE(Bordero!$E$3,3,50,"")</f>
        <v>Co</v>
      </c>
      <c r="U72" t="str">
        <f t="shared" si="8"/>
        <v>Gustavo Oliveira/Co/</v>
      </c>
      <c r="W72">
        <f t="shared" si="6"/>
        <v>7</v>
      </c>
      <c r="X72" s="9" t="e">
        <f t="shared" si="7"/>
        <v>#VALUE!</v>
      </c>
    </row>
    <row r="73" spans="1:24">
      <c r="A73" s="39" t="str">
        <f>IF(Bordero!B80="","",IF(Bordero!$G$3="Product",Bordero!J80,Bordero!D80))</f>
        <v/>
      </c>
      <c r="B73" s="39" t="str">
        <f>IF(Bordero!B80="","",Bordero!D80)</f>
        <v/>
      </c>
      <c r="C73" s="39" t="str">
        <f>IF(Bordero!B80="","",U73)</f>
        <v/>
      </c>
      <c r="D73" s="40" t="str">
        <f>IF(Bordero!B80="","",Bordero!$G$3)</f>
        <v/>
      </c>
      <c r="E73" s="22" t="str">
        <f>IF(Bordero!B80="","",(F73-Q73-Simulador!$H$6))</f>
        <v/>
      </c>
      <c r="F73" s="22" t="str">
        <f>IF(Bordero!B80="","",Bordero!I80)</f>
        <v/>
      </c>
      <c r="G73" s="16" t="str">
        <f>IF(Bordero!B80="","",Bordero!F80)</f>
        <v/>
      </c>
      <c r="H73" s="16" t="str">
        <f>IF(Bordero!B80="","",Bordero!E80)</f>
        <v/>
      </c>
      <c r="I73" s="41" t="str">
        <f>IF(Bordero!B80="","",Bordero!B80)</f>
        <v/>
      </c>
      <c r="J73" s="40" t="str">
        <f>IF(Bordero!B80="","",Bordero!C80)</f>
        <v/>
      </c>
      <c r="K73" s="42" t="str">
        <f>IF(Bordero!B80="","",Bordero!K80)</f>
        <v/>
      </c>
      <c r="L73" s="134" t="str">
        <f>IF(Bordero!B80="","",Bordero!$C$3)</f>
        <v/>
      </c>
      <c r="M73" s="43" t="str">
        <f>IF(Bordero!B80="","",Bordero!$C$4)</f>
        <v/>
      </c>
      <c r="N73" s="42" t="str">
        <f>IF(Bordero!B80="","","sim")</f>
        <v/>
      </c>
      <c r="O73" s="42" t="str">
        <f>IF(Bordero!B80="","","duplicata")</f>
        <v/>
      </c>
      <c r="P73" s="135" t="str">
        <f t="shared" si="5"/>
        <v/>
      </c>
      <c r="Q73" s="47" t="str">
        <f>IF(Bordero!B80="","",(1-(((Bordero!$I$6)+1)^R73))*F73*-1)</f>
        <v/>
      </c>
      <c r="R73" s="33" t="str">
        <f>IF(Bordero!B80="","",(X73-Bordero!$H$1)/30)</f>
        <v/>
      </c>
      <c r="S73" s="45" t="str">
        <f>Bordero!$C$5</f>
        <v>Gustavo Oliveira</v>
      </c>
      <c r="T73" s="45" t="str">
        <f>REPLACE(Bordero!$E$3,3,50,"")</f>
        <v>Co</v>
      </c>
      <c r="U73" t="str">
        <f t="shared" si="8"/>
        <v>Gustavo Oliveira/Co/</v>
      </c>
      <c r="W73">
        <f t="shared" si="6"/>
        <v>7</v>
      </c>
      <c r="X73" s="9" t="e">
        <f t="shared" si="7"/>
        <v>#VALUE!</v>
      </c>
    </row>
    <row r="74" spans="1:24">
      <c r="A74" s="39" t="str">
        <f>IF(Bordero!B81="","",IF(Bordero!$G$3="Product",Bordero!J81,Bordero!D81))</f>
        <v/>
      </c>
      <c r="B74" s="39" t="str">
        <f>IF(Bordero!B81="","",Bordero!D81)</f>
        <v/>
      </c>
      <c r="C74" s="39" t="str">
        <f>IF(Bordero!B81="","",U74)</f>
        <v/>
      </c>
      <c r="D74" s="40" t="str">
        <f>IF(Bordero!B81="","",Bordero!$G$3)</f>
        <v/>
      </c>
      <c r="E74" s="22" t="str">
        <f>IF(Bordero!B81="","",(F74-Q74-Simulador!$H$6))</f>
        <v/>
      </c>
      <c r="F74" s="22" t="str">
        <f>IF(Bordero!B81="","",Bordero!I81)</f>
        <v/>
      </c>
      <c r="G74" s="16" t="str">
        <f>IF(Bordero!B81="","",Bordero!F81)</f>
        <v/>
      </c>
      <c r="H74" s="16" t="str">
        <f>IF(Bordero!B81="","",Bordero!E81)</f>
        <v/>
      </c>
      <c r="I74" s="41" t="str">
        <f>IF(Bordero!B81="","",Bordero!B81)</f>
        <v/>
      </c>
      <c r="J74" s="40" t="str">
        <f>IF(Bordero!B81="","",Bordero!C81)</f>
        <v/>
      </c>
      <c r="K74" s="42" t="str">
        <f>IF(Bordero!B81="","",Bordero!K81)</f>
        <v/>
      </c>
      <c r="L74" s="134" t="str">
        <f>IF(Bordero!B81="","",Bordero!$C$3)</f>
        <v/>
      </c>
      <c r="M74" s="43" t="str">
        <f>IF(Bordero!B81="","",Bordero!$C$4)</f>
        <v/>
      </c>
      <c r="N74" s="42" t="str">
        <f>IF(Bordero!B81="","","sim")</f>
        <v/>
      </c>
      <c r="O74" s="42" t="str">
        <f>IF(Bordero!B81="","","duplicata")</f>
        <v/>
      </c>
      <c r="P74" s="135" t="str">
        <f t="shared" si="5"/>
        <v/>
      </c>
      <c r="Q74" s="47" t="str">
        <f>IF(Bordero!B81="","",(1-(((Bordero!$I$6)+1)^R74))*F74*-1)</f>
        <v/>
      </c>
      <c r="R74" s="33" t="str">
        <f>IF(Bordero!B81="","",(X74-Bordero!$H$1)/30)</f>
        <v/>
      </c>
      <c r="S74" s="45" t="str">
        <f>Bordero!$C$5</f>
        <v>Gustavo Oliveira</v>
      </c>
      <c r="T74" s="45" t="str">
        <f>REPLACE(Bordero!$E$3,3,50,"")</f>
        <v>Co</v>
      </c>
      <c r="U74" t="str">
        <f t="shared" si="8"/>
        <v>Gustavo Oliveira/Co/</v>
      </c>
      <c r="W74">
        <f t="shared" si="6"/>
        <v>7</v>
      </c>
      <c r="X74" s="9" t="e">
        <f t="shared" si="7"/>
        <v>#VALUE!</v>
      </c>
    </row>
    <row r="75" spans="1:24">
      <c r="A75" s="39" t="str">
        <f>IF(Bordero!B82="","",IF(Bordero!$G$3="Product",Bordero!J82,Bordero!D82))</f>
        <v/>
      </c>
      <c r="B75" s="39" t="str">
        <f>IF(Bordero!B82="","",Bordero!D82)</f>
        <v/>
      </c>
      <c r="C75" s="39" t="str">
        <f>IF(Bordero!B82="","",U75)</f>
        <v/>
      </c>
      <c r="D75" s="40" t="str">
        <f>IF(Bordero!B82="","",Bordero!$G$3)</f>
        <v/>
      </c>
      <c r="E75" s="22" t="str">
        <f>IF(Bordero!B82="","",(F75-Q75-Simulador!$H$6))</f>
        <v/>
      </c>
      <c r="F75" s="22" t="str">
        <f>IF(Bordero!B82="","",Bordero!I82)</f>
        <v/>
      </c>
      <c r="G75" s="16" t="str">
        <f>IF(Bordero!B82="","",Bordero!F82)</f>
        <v/>
      </c>
      <c r="H75" s="16" t="str">
        <f>IF(Bordero!B82="","",Bordero!E82)</f>
        <v/>
      </c>
      <c r="I75" s="41" t="str">
        <f>IF(Bordero!B82="","",Bordero!B82)</f>
        <v/>
      </c>
      <c r="J75" s="40" t="str">
        <f>IF(Bordero!B82="","",Bordero!C82)</f>
        <v/>
      </c>
      <c r="K75" s="42" t="str">
        <f>IF(Bordero!B82="","",Bordero!K82)</f>
        <v/>
      </c>
      <c r="L75" s="134" t="str">
        <f>IF(Bordero!B82="","",Bordero!$C$3)</f>
        <v/>
      </c>
      <c r="M75" s="43" t="str">
        <f>IF(Bordero!B82="","",Bordero!$C$4)</f>
        <v/>
      </c>
      <c r="N75" s="42" t="str">
        <f>IF(Bordero!B82="","","sim")</f>
        <v/>
      </c>
      <c r="O75" s="42" t="str">
        <f>IF(Bordero!B82="","","duplicata")</f>
        <v/>
      </c>
      <c r="P75" s="135" t="str">
        <f t="shared" si="5"/>
        <v/>
      </c>
      <c r="Q75" s="47" t="str">
        <f>IF(Bordero!B82="","",(1-(((Bordero!$I$6)+1)^R75))*F75*-1)</f>
        <v/>
      </c>
      <c r="R75" s="33" t="str">
        <f>IF(Bordero!B82="","",(X75-Bordero!$H$1)/30)</f>
        <v/>
      </c>
      <c r="S75" s="45" t="str">
        <f>Bordero!$C$5</f>
        <v>Gustavo Oliveira</v>
      </c>
      <c r="T75" s="45" t="str">
        <f>REPLACE(Bordero!$E$3,3,50,"")</f>
        <v>Co</v>
      </c>
      <c r="U75" t="str">
        <f t="shared" si="8"/>
        <v>Gustavo Oliveira/Co/</v>
      </c>
      <c r="W75">
        <f t="shared" si="6"/>
        <v>7</v>
      </c>
      <c r="X75" s="9" t="e">
        <f t="shared" si="7"/>
        <v>#VALUE!</v>
      </c>
    </row>
    <row r="76" spans="1:24">
      <c r="A76" s="39" t="str">
        <f>IF(Bordero!B83="","",IF(Bordero!$G$3="Product",Bordero!J83,Bordero!D83))</f>
        <v/>
      </c>
      <c r="B76" s="39" t="str">
        <f>IF(Bordero!B83="","",Bordero!D83)</f>
        <v/>
      </c>
      <c r="C76" s="39" t="str">
        <f>IF(Bordero!B83="","",U76)</f>
        <v/>
      </c>
      <c r="D76" s="40" t="str">
        <f>IF(Bordero!B83="","",Bordero!$G$3)</f>
        <v/>
      </c>
      <c r="E76" s="22" t="str">
        <f>IF(Bordero!B83="","",(F76-Q76-Simulador!$H$6))</f>
        <v/>
      </c>
      <c r="F76" s="22" t="str">
        <f>IF(Bordero!B83="","",Bordero!I83)</f>
        <v/>
      </c>
      <c r="G76" s="16" t="str">
        <f>IF(Bordero!B83="","",Bordero!F83)</f>
        <v/>
      </c>
      <c r="H76" s="16" t="str">
        <f>IF(Bordero!B83="","",Bordero!E83)</f>
        <v/>
      </c>
      <c r="I76" s="41" t="str">
        <f>IF(Bordero!B83="","",Bordero!B83)</f>
        <v/>
      </c>
      <c r="J76" s="40" t="str">
        <f>IF(Bordero!B83="","",Bordero!C83)</f>
        <v/>
      </c>
      <c r="K76" s="42" t="str">
        <f>IF(Bordero!B83="","",Bordero!K83)</f>
        <v/>
      </c>
      <c r="L76" s="134" t="str">
        <f>IF(Bordero!B83="","",Bordero!$C$3)</f>
        <v/>
      </c>
      <c r="M76" s="43" t="str">
        <f>IF(Bordero!B83="","",Bordero!$C$4)</f>
        <v/>
      </c>
      <c r="N76" s="42" t="str">
        <f>IF(Bordero!B83="","","sim")</f>
        <v/>
      </c>
      <c r="O76" s="42" t="str">
        <f>IF(Bordero!B83="","","duplicata")</f>
        <v/>
      </c>
      <c r="P76" s="135" t="str">
        <f t="shared" si="5"/>
        <v/>
      </c>
      <c r="Q76" s="47" t="str">
        <f>IF(Bordero!B83="","",(1-(((Bordero!$I$6)+1)^R76))*F76*-1)</f>
        <v/>
      </c>
      <c r="R76" s="33" t="str">
        <f>IF(Bordero!B83="","",(X76-Bordero!$H$1)/30)</f>
        <v/>
      </c>
      <c r="S76" s="45" t="str">
        <f>Bordero!$C$5</f>
        <v>Gustavo Oliveira</v>
      </c>
      <c r="T76" s="45" t="str">
        <f>REPLACE(Bordero!$E$3,3,50,"")</f>
        <v>Co</v>
      </c>
      <c r="U76" t="str">
        <f t="shared" si="8"/>
        <v>Gustavo Oliveira/Co/</v>
      </c>
      <c r="W76">
        <f t="shared" si="6"/>
        <v>7</v>
      </c>
      <c r="X76" s="9" t="e">
        <f t="shared" si="7"/>
        <v>#VALUE!</v>
      </c>
    </row>
    <row r="77" spans="1:24">
      <c r="A77" s="39" t="str">
        <f>IF(Bordero!B84="","",IF(Bordero!$G$3="Product",Bordero!J84,Bordero!D84))</f>
        <v/>
      </c>
      <c r="B77" s="39" t="str">
        <f>IF(Bordero!B84="","",Bordero!D84)</f>
        <v/>
      </c>
      <c r="C77" s="39" t="str">
        <f>IF(Bordero!B84="","",U77)</f>
        <v/>
      </c>
      <c r="D77" s="40" t="str">
        <f>IF(Bordero!B84="","",Bordero!$G$3)</f>
        <v/>
      </c>
      <c r="E77" s="22" t="str">
        <f>IF(Bordero!B84="","",(F77-Q77-Simulador!$H$6))</f>
        <v/>
      </c>
      <c r="F77" s="22" t="str">
        <f>IF(Bordero!B84="","",Bordero!I84)</f>
        <v/>
      </c>
      <c r="G77" s="16" t="str">
        <f>IF(Bordero!B84="","",Bordero!F84)</f>
        <v/>
      </c>
      <c r="H77" s="16" t="str">
        <f>IF(Bordero!B84="","",Bordero!E84)</f>
        <v/>
      </c>
      <c r="I77" s="41" t="str">
        <f>IF(Bordero!B84="","",Bordero!B84)</f>
        <v/>
      </c>
      <c r="J77" s="40" t="str">
        <f>IF(Bordero!B84="","",Bordero!C84)</f>
        <v/>
      </c>
      <c r="K77" s="42" t="str">
        <f>IF(Bordero!B84="","",Bordero!K84)</f>
        <v/>
      </c>
      <c r="L77" s="134" t="str">
        <f>IF(Bordero!B84="","",Bordero!$C$3)</f>
        <v/>
      </c>
      <c r="M77" s="43" t="str">
        <f>IF(Bordero!B84="","",Bordero!$C$4)</f>
        <v/>
      </c>
      <c r="N77" s="42" t="str">
        <f>IF(Bordero!B84="","","sim")</f>
        <v/>
      </c>
      <c r="O77" s="42" t="str">
        <f>IF(Bordero!B84="","","duplicata")</f>
        <v/>
      </c>
      <c r="P77" s="135" t="str">
        <f t="shared" si="5"/>
        <v/>
      </c>
      <c r="Q77" s="47" t="str">
        <f>IF(Bordero!B84="","",(1-(((Bordero!$I$6)+1)^R77))*F77*-1)</f>
        <v/>
      </c>
      <c r="R77" s="33" t="str">
        <f>IF(Bordero!B84="","",(X77-Bordero!$H$1)/30)</f>
        <v/>
      </c>
      <c r="S77" s="45" t="str">
        <f>Bordero!$C$5</f>
        <v>Gustavo Oliveira</v>
      </c>
      <c r="T77" s="45" t="str">
        <f>REPLACE(Bordero!$E$3,3,50,"")</f>
        <v>Co</v>
      </c>
      <c r="U77" t="str">
        <f t="shared" si="8"/>
        <v>Gustavo Oliveira/Co/</v>
      </c>
      <c r="W77">
        <f t="shared" si="6"/>
        <v>7</v>
      </c>
      <c r="X77" s="9" t="e">
        <f t="shared" si="7"/>
        <v>#VALUE!</v>
      </c>
    </row>
    <row r="78" spans="1:24">
      <c r="A78" s="39" t="str">
        <f>IF(Bordero!B85="","",IF(Bordero!$G$3="Product",Bordero!J85,Bordero!D85))</f>
        <v/>
      </c>
      <c r="B78" s="39" t="str">
        <f>IF(Bordero!B85="","",Bordero!D85)</f>
        <v/>
      </c>
      <c r="C78" s="39" t="str">
        <f>IF(Bordero!B85="","",U78)</f>
        <v/>
      </c>
      <c r="D78" s="40" t="str">
        <f>IF(Bordero!B85="","",Bordero!$G$3)</f>
        <v/>
      </c>
      <c r="E78" s="22" t="str">
        <f>IF(Bordero!B85="","",(F78-Q78-Simulador!$H$6))</f>
        <v/>
      </c>
      <c r="F78" s="22" t="str">
        <f>IF(Bordero!B85="","",Bordero!I85)</f>
        <v/>
      </c>
      <c r="G78" s="16" t="str">
        <f>IF(Bordero!B85="","",Bordero!F85)</f>
        <v/>
      </c>
      <c r="H78" s="16" t="str">
        <f>IF(Bordero!B85="","",Bordero!E85)</f>
        <v/>
      </c>
      <c r="I78" s="41" t="str">
        <f>IF(Bordero!B85="","",Bordero!B85)</f>
        <v/>
      </c>
      <c r="J78" s="40" t="str">
        <f>IF(Bordero!B85="","",Bordero!C85)</f>
        <v/>
      </c>
      <c r="K78" s="42" t="str">
        <f>IF(Bordero!B85="","",Bordero!K85)</f>
        <v/>
      </c>
      <c r="L78" s="134" t="str">
        <f>IF(Bordero!B85="","",Bordero!$C$3)</f>
        <v/>
      </c>
      <c r="M78" s="43" t="str">
        <f>IF(Bordero!B85="","",Bordero!$C$4)</f>
        <v/>
      </c>
      <c r="N78" s="42" t="str">
        <f>IF(Bordero!B85="","","sim")</f>
        <v/>
      </c>
      <c r="O78" s="42" t="str">
        <f>IF(Bordero!B85="","","duplicata")</f>
        <v/>
      </c>
      <c r="P78" s="135" t="str">
        <f t="shared" si="5"/>
        <v/>
      </c>
      <c r="Q78" s="47" t="str">
        <f>IF(Bordero!B85="","",(1-(((Bordero!$I$6)+1)^R78))*F78*-1)</f>
        <v/>
      </c>
      <c r="R78" s="33" t="str">
        <f>IF(Bordero!B85="","",(X78-Bordero!$H$1)/30)</f>
        <v/>
      </c>
      <c r="S78" s="45" t="str">
        <f>Bordero!$C$5</f>
        <v>Gustavo Oliveira</v>
      </c>
      <c r="T78" s="45" t="str">
        <f>REPLACE(Bordero!$E$3,3,50,"")</f>
        <v>Co</v>
      </c>
      <c r="U78" t="str">
        <f t="shared" si="8"/>
        <v>Gustavo Oliveira/Co/</v>
      </c>
      <c r="W78">
        <f t="shared" si="6"/>
        <v>7</v>
      </c>
      <c r="X78" s="9" t="e">
        <f t="shared" si="7"/>
        <v>#VALUE!</v>
      </c>
    </row>
    <row r="79" spans="1:24">
      <c r="A79" s="39" t="str">
        <f>IF(Bordero!B86="","",IF(Bordero!$G$3="Product",Bordero!J86,Bordero!D86))</f>
        <v/>
      </c>
      <c r="B79" s="39" t="str">
        <f>IF(Bordero!B86="","",Bordero!D86)</f>
        <v/>
      </c>
      <c r="C79" s="39" t="str">
        <f>IF(Bordero!B86="","",U79)</f>
        <v/>
      </c>
      <c r="D79" s="40" t="str">
        <f>IF(Bordero!B86="","",Bordero!$G$3)</f>
        <v/>
      </c>
      <c r="E79" s="22" t="str">
        <f>IF(Bordero!B86="","",(F79-Q79-Simulador!$H$6))</f>
        <v/>
      </c>
      <c r="F79" s="22" t="str">
        <f>IF(Bordero!B86="","",Bordero!I86)</f>
        <v/>
      </c>
      <c r="G79" s="16" t="str">
        <f>IF(Bordero!B86="","",Bordero!F86)</f>
        <v/>
      </c>
      <c r="H79" s="16" t="str">
        <f>IF(Bordero!B86="","",Bordero!E86)</f>
        <v/>
      </c>
      <c r="I79" s="41" t="str">
        <f>IF(Bordero!B86="","",Bordero!B86)</f>
        <v/>
      </c>
      <c r="J79" s="40" t="str">
        <f>IF(Bordero!B86="","",Bordero!C86)</f>
        <v/>
      </c>
      <c r="K79" s="42" t="str">
        <f>IF(Bordero!B86="","",Bordero!K86)</f>
        <v/>
      </c>
      <c r="L79" s="134" t="str">
        <f>IF(Bordero!B86="","",Bordero!$C$3)</f>
        <v/>
      </c>
      <c r="M79" s="43" t="str">
        <f>IF(Bordero!B86="","",Bordero!$C$4)</f>
        <v/>
      </c>
      <c r="N79" s="42" t="str">
        <f>IF(Bordero!B86="","","sim")</f>
        <v/>
      </c>
      <c r="O79" s="42" t="str">
        <f>IF(Bordero!B86="","","duplicata")</f>
        <v/>
      </c>
      <c r="P79" s="135" t="str">
        <f t="shared" si="5"/>
        <v/>
      </c>
      <c r="Q79" s="47" t="str">
        <f>IF(Bordero!B86="","",(1-(((Bordero!$I$6)+1)^R79))*F79*-1)</f>
        <v/>
      </c>
      <c r="R79" s="33" t="str">
        <f>IF(Bordero!B86="","",(X79-Bordero!$H$1)/30)</f>
        <v/>
      </c>
      <c r="S79" s="45" t="str">
        <f>Bordero!$C$5</f>
        <v>Gustavo Oliveira</v>
      </c>
      <c r="T79" s="45" t="str">
        <f>REPLACE(Bordero!$E$3,3,50,"")</f>
        <v>Co</v>
      </c>
      <c r="U79" t="str">
        <f t="shared" si="8"/>
        <v>Gustavo Oliveira/Co/</v>
      </c>
      <c r="W79">
        <f t="shared" si="6"/>
        <v>7</v>
      </c>
      <c r="X79" s="9" t="e">
        <f t="shared" si="7"/>
        <v>#VALUE!</v>
      </c>
    </row>
    <row r="80" spans="1:24">
      <c r="A80" s="39" t="str">
        <f>IF(Bordero!B87="","",IF(Bordero!$G$3="Product",Bordero!J87,Bordero!D87))</f>
        <v/>
      </c>
      <c r="B80" s="39" t="str">
        <f>IF(Bordero!B87="","",Bordero!D87)</f>
        <v/>
      </c>
      <c r="C80" s="39" t="str">
        <f>IF(Bordero!B87="","",U80)</f>
        <v/>
      </c>
      <c r="D80" s="40" t="str">
        <f>IF(Bordero!B87="","",Bordero!$G$3)</f>
        <v/>
      </c>
      <c r="E80" s="22" t="str">
        <f>IF(Bordero!B87="","",(F80-Q80-Simulador!$H$6))</f>
        <v/>
      </c>
      <c r="F80" s="22" t="str">
        <f>IF(Bordero!B87="","",Bordero!I87)</f>
        <v/>
      </c>
      <c r="G80" s="16" t="str">
        <f>IF(Bordero!B87="","",Bordero!F87)</f>
        <v/>
      </c>
      <c r="H80" s="16" t="str">
        <f>IF(Bordero!B87="","",Bordero!E87)</f>
        <v/>
      </c>
      <c r="I80" s="41" t="str">
        <f>IF(Bordero!B87="","",Bordero!B87)</f>
        <v/>
      </c>
      <c r="J80" s="40" t="str">
        <f>IF(Bordero!B87="","",Bordero!C87)</f>
        <v/>
      </c>
      <c r="K80" s="42" t="str">
        <f>IF(Bordero!B87="","",Bordero!K87)</f>
        <v/>
      </c>
      <c r="L80" s="134" t="str">
        <f>IF(Bordero!B87="","",Bordero!$C$3)</f>
        <v/>
      </c>
      <c r="M80" s="43" t="str">
        <f>IF(Bordero!B87="","",Bordero!$C$4)</f>
        <v/>
      </c>
      <c r="N80" s="42" t="str">
        <f>IF(Bordero!B87="","","sim")</f>
        <v/>
      </c>
      <c r="O80" s="42" t="str">
        <f>IF(Bordero!B87="","","duplicata")</f>
        <v/>
      </c>
      <c r="P80" s="135" t="str">
        <f t="shared" si="5"/>
        <v/>
      </c>
      <c r="Q80" s="47" t="str">
        <f>IF(Bordero!B87="","",(1-(((Bordero!$I$6)+1)^R80))*F80*-1)</f>
        <v/>
      </c>
      <c r="R80" s="33" t="str">
        <f>IF(Bordero!B87="","",(X80-Bordero!$H$1)/30)</f>
        <v/>
      </c>
      <c r="S80" s="45" t="str">
        <f>Bordero!$C$5</f>
        <v>Gustavo Oliveira</v>
      </c>
      <c r="T80" s="45" t="str">
        <f>REPLACE(Bordero!$E$3,3,50,"")</f>
        <v>Co</v>
      </c>
      <c r="U80" t="str">
        <f t="shared" si="8"/>
        <v>Gustavo Oliveira/Co/</v>
      </c>
      <c r="W80">
        <f t="shared" si="6"/>
        <v>7</v>
      </c>
      <c r="X80" s="9" t="e">
        <f t="shared" si="7"/>
        <v>#VALUE!</v>
      </c>
    </row>
    <row r="81" spans="1:24">
      <c r="A81" s="39" t="str">
        <f>IF(Bordero!B88="","",IF(Bordero!$G$3="Product",Bordero!J88,Bordero!D88))</f>
        <v/>
      </c>
      <c r="B81" s="39" t="str">
        <f>IF(Bordero!B88="","",Bordero!D88)</f>
        <v/>
      </c>
      <c r="C81" s="39" t="str">
        <f>IF(Bordero!B88="","",U81)</f>
        <v/>
      </c>
      <c r="D81" s="40" t="str">
        <f>IF(Bordero!B88="","",Bordero!$G$3)</f>
        <v/>
      </c>
      <c r="E81" s="22" t="str">
        <f>IF(Bordero!B88="","",(F81-Q81-Simulador!$H$6))</f>
        <v/>
      </c>
      <c r="F81" s="22" t="str">
        <f>IF(Bordero!B88="","",Bordero!I88)</f>
        <v/>
      </c>
      <c r="G81" s="16" t="str">
        <f>IF(Bordero!B88="","",Bordero!F88)</f>
        <v/>
      </c>
      <c r="H81" s="16" t="str">
        <f>IF(Bordero!B88="","",Bordero!E88)</f>
        <v/>
      </c>
      <c r="I81" s="41" t="str">
        <f>IF(Bordero!B88="","",Bordero!B88)</f>
        <v/>
      </c>
      <c r="J81" s="40" t="str">
        <f>IF(Bordero!B88="","",Bordero!C88)</f>
        <v/>
      </c>
      <c r="K81" s="42" t="str">
        <f>IF(Bordero!B88="","",Bordero!K88)</f>
        <v/>
      </c>
      <c r="L81" s="134" t="str">
        <f>IF(Bordero!B88="","",Bordero!$C$3)</f>
        <v/>
      </c>
      <c r="M81" s="43" t="str">
        <f>IF(Bordero!B88="","",Bordero!$C$4)</f>
        <v/>
      </c>
      <c r="N81" s="42" t="str">
        <f>IF(Bordero!B88="","","sim")</f>
        <v/>
      </c>
      <c r="O81" s="42" t="str">
        <f>IF(Bordero!B88="","","duplicata")</f>
        <v/>
      </c>
      <c r="P81" s="135" t="str">
        <f t="shared" si="5"/>
        <v/>
      </c>
      <c r="Q81" s="47" t="str">
        <f>IF(Bordero!B88="","",(1-(((Bordero!$I$6)+1)^R81))*F81*-1)</f>
        <v/>
      </c>
      <c r="R81" s="33" t="str">
        <f>IF(Bordero!B88="","",(X81-Bordero!$H$1)/30)</f>
        <v/>
      </c>
      <c r="S81" s="45" t="str">
        <f>Bordero!$C$5</f>
        <v>Gustavo Oliveira</v>
      </c>
      <c r="T81" s="45" t="str">
        <f>REPLACE(Bordero!$E$3,3,50,"")</f>
        <v>Co</v>
      </c>
      <c r="U81" t="str">
        <f t="shared" si="8"/>
        <v>Gustavo Oliveira/Co/</v>
      </c>
      <c r="W81">
        <f t="shared" si="6"/>
        <v>7</v>
      </c>
      <c r="X81" s="9" t="e">
        <f t="shared" si="7"/>
        <v>#VALUE!</v>
      </c>
    </row>
    <row r="82" spans="1:24">
      <c r="A82" s="39" t="str">
        <f>IF(Bordero!B89="","",IF(Bordero!$G$3="Product",Bordero!J89,Bordero!D89))</f>
        <v/>
      </c>
      <c r="B82" s="39" t="str">
        <f>IF(Bordero!B89="","",Bordero!D89)</f>
        <v/>
      </c>
      <c r="C82" s="39" t="str">
        <f>IF(Bordero!B89="","",U82)</f>
        <v/>
      </c>
      <c r="D82" s="40" t="str">
        <f>IF(Bordero!B89="","",Bordero!$G$3)</f>
        <v/>
      </c>
      <c r="E82" s="22" t="str">
        <f>IF(Bordero!B89="","",(F82-Q82-Simulador!$H$6))</f>
        <v/>
      </c>
      <c r="F82" s="22" t="str">
        <f>IF(Bordero!B89="","",Bordero!I89)</f>
        <v/>
      </c>
      <c r="G82" s="16" t="str">
        <f>IF(Bordero!B89="","",Bordero!F89)</f>
        <v/>
      </c>
      <c r="H82" s="16" t="str">
        <f>IF(Bordero!B89="","",Bordero!E89)</f>
        <v/>
      </c>
      <c r="I82" s="41" t="str">
        <f>IF(Bordero!B89="","",Bordero!B89)</f>
        <v/>
      </c>
      <c r="J82" s="40" t="str">
        <f>IF(Bordero!B89="","",Bordero!C89)</f>
        <v/>
      </c>
      <c r="K82" s="42" t="str">
        <f>IF(Bordero!B89="","",Bordero!K89)</f>
        <v/>
      </c>
      <c r="L82" s="134" t="str">
        <f>IF(Bordero!B89="","",Bordero!$C$3)</f>
        <v/>
      </c>
      <c r="M82" s="43" t="str">
        <f>IF(Bordero!B89="","",Bordero!$C$4)</f>
        <v/>
      </c>
      <c r="N82" s="42" t="str">
        <f>IF(Bordero!B89="","","sim")</f>
        <v/>
      </c>
      <c r="O82" s="42" t="str">
        <f>IF(Bordero!B89="","","duplicata")</f>
        <v/>
      </c>
      <c r="P82" s="135" t="str">
        <f t="shared" si="5"/>
        <v/>
      </c>
      <c r="Q82" s="47" t="str">
        <f>IF(Bordero!B89="","",(1-(((Bordero!$I$6)+1)^R82))*F82*-1)</f>
        <v/>
      </c>
      <c r="R82" s="33" t="str">
        <f>IF(Bordero!B89="","",(X82-Bordero!$H$1)/30)</f>
        <v/>
      </c>
      <c r="S82" s="45" t="str">
        <f>Bordero!$C$5</f>
        <v>Gustavo Oliveira</v>
      </c>
      <c r="T82" s="45" t="str">
        <f>REPLACE(Bordero!$E$3,3,50,"")</f>
        <v>Co</v>
      </c>
      <c r="U82" t="str">
        <f t="shared" si="8"/>
        <v>Gustavo Oliveira/Co/</v>
      </c>
      <c r="W82">
        <f t="shared" si="6"/>
        <v>7</v>
      </c>
      <c r="X82" s="9" t="e">
        <f t="shared" si="7"/>
        <v>#VALUE!</v>
      </c>
    </row>
    <row r="83" spans="1:24">
      <c r="A83" s="39" t="str">
        <f>IF(Bordero!B90="","",IF(Bordero!$G$3="Product",Bordero!J90,Bordero!D90))</f>
        <v/>
      </c>
      <c r="B83" s="39" t="str">
        <f>IF(Bordero!B90="","",Bordero!D90)</f>
        <v/>
      </c>
      <c r="C83" s="39" t="str">
        <f>IF(Bordero!B90="","",U83)</f>
        <v/>
      </c>
      <c r="D83" s="40" t="str">
        <f>IF(Bordero!B90="","",Bordero!$G$3)</f>
        <v/>
      </c>
      <c r="E83" s="22" t="str">
        <f>IF(Bordero!B90="","",(F83-Q83-Simulador!$H$6))</f>
        <v/>
      </c>
      <c r="F83" s="22" t="str">
        <f>IF(Bordero!B90="","",Bordero!I90)</f>
        <v/>
      </c>
      <c r="G83" s="16" t="str">
        <f>IF(Bordero!B90="","",Bordero!F90)</f>
        <v/>
      </c>
      <c r="H83" s="16" t="str">
        <f>IF(Bordero!B90="","",Bordero!E90)</f>
        <v/>
      </c>
      <c r="I83" s="41" t="str">
        <f>IF(Bordero!B90="","",Bordero!B90)</f>
        <v/>
      </c>
      <c r="J83" s="40" t="str">
        <f>IF(Bordero!B90="","",Bordero!C90)</f>
        <v/>
      </c>
      <c r="K83" s="42" t="str">
        <f>IF(Bordero!B90="","",Bordero!K90)</f>
        <v/>
      </c>
      <c r="L83" s="134" t="str">
        <f>IF(Bordero!B90="","",Bordero!$C$3)</f>
        <v/>
      </c>
      <c r="M83" s="43" t="str">
        <f>IF(Bordero!B90="","",Bordero!$C$4)</f>
        <v/>
      </c>
      <c r="N83" s="42" t="str">
        <f>IF(Bordero!B90="","","sim")</f>
        <v/>
      </c>
      <c r="O83" s="42" t="str">
        <f>IF(Bordero!B90="","","duplicata")</f>
        <v/>
      </c>
      <c r="P83" s="135" t="str">
        <f t="shared" si="5"/>
        <v/>
      </c>
      <c r="Q83" s="47" t="str">
        <f>IF(Bordero!B90="","",(1-(((Bordero!$I$6)+1)^R83))*F83*-1)</f>
        <v/>
      </c>
      <c r="R83" s="33" t="str">
        <f>IF(Bordero!B90="","",(X83-Bordero!$H$1)/30)</f>
        <v/>
      </c>
      <c r="S83" s="45" t="str">
        <f>Bordero!$C$5</f>
        <v>Gustavo Oliveira</v>
      </c>
      <c r="T83" s="45" t="str">
        <f>REPLACE(Bordero!$E$3,3,50,"")</f>
        <v>Co</v>
      </c>
      <c r="U83" t="str">
        <f t="shared" si="8"/>
        <v>Gustavo Oliveira/Co/</v>
      </c>
      <c r="W83">
        <f t="shared" si="6"/>
        <v>7</v>
      </c>
      <c r="X83" s="9" t="e">
        <f t="shared" si="7"/>
        <v>#VALUE!</v>
      </c>
    </row>
    <row r="84" spans="1:24">
      <c r="A84" s="39" t="str">
        <f>IF(Bordero!B91="","",IF(Bordero!$G$3="Product",Bordero!J91,Bordero!D91))</f>
        <v/>
      </c>
      <c r="B84" s="39" t="str">
        <f>IF(Bordero!B91="","",Bordero!D91)</f>
        <v/>
      </c>
      <c r="C84" s="39" t="str">
        <f>IF(Bordero!B91="","",U84)</f>
        <v/>
      </c>
      <c r="D84" s="40" t="str">
        <f>IF(Bordero!B91="","",Bordero!$G$3)</f>
        <v/>
      </c>
      <c r="E84" s="22" t="str">
        <f>IF(Bordero!B91="","",(F84-Q84-Simulador!$H$6))</f>
        <v/>
      </c>
      <c r="F84" s="22" t="str">
        <f>IF(Bordero!B91="","",Bordero!I91)</f>
        <v/>
      </c>
      <c r="G84" s="16" t="str">
        <f>IF(Bordero!B91="","",Bordero!F91)</f>
        <v/>
      </c>
      <c r="H84" s="16" t="str">
        <f>IF(Bordero!B91="","",Bordero!E91)</f>
        <v/>
      </c>
      <c r="I84" s="41" t="str">
        <f>IF(Bordero!B91="","",Bordero!B91)</f>
        <v/>
      </c>
      <c r="J84" s="40" t="str">
        <f>IF(Bordero!B91="","",Bordero!C91)</f>
        <v/>
      </c>
      <c r="K84" s="42" t="str">
        <f>IF(Bordero!B91="","",Bordero!K91)</f>
        <v/>
      </c>
      <c r="L84" s="134" t="str">
        <f>IF(Bordero!B91="","",Bordero!$C$3)</f>
        <v/>
      </c>
      <c r="M84" s="43" t="str">
        <f>IF(Bordero!B91="","",Bordero!$C$4)</f>
        <v/>
      </c>
      <c r="N84" s="42" t="str">
        <f>IF(Bordero!B91="","","sim")</f>
        <v/>
      </c>
      <c r="O84" s="42" t="str">
        <f>IF(Bordero!B91="","","duplicata")</f>
        <v/>
      </c>
      <c r="P84" s="135" t="str">
        <f t="shared" si="5"/>
        <v/>
      </c>
      <c r="Q84" s="47" t="str">
        <f>IF(Bordero!B91="","",(1-(((Bordero!$I$6)+1)^R84))*F84*-1)</f>
        <v/>
      </c>
      <c r="R84" s="33" t="str">
        <f>IF(Bordero!B91="","",(X84-Bordero!$H$1)/30)</f>
        <v/>
      </c>
      <c r="S84" s="45" t="str">
        <f>Bordero!$C$5</f>
        <v>Gustavo Oliveira</v>
      </c>
      <c r="T84" s="45" t="str">
        <f>REPLACE(Bordero!$E$3,3,50,"")</f>
        <v>Co</v>
      </c>
      <c r="U84" t="str">
        <f t="shared" si="8"/>
        <v>Gustavo Oliveira/Co/</v>
      </c>
      <c r="W84">
        <f t="shared" si="6"/>
        <v>7</v>
      </c>
      <c r="X84" s="9" t="e">
        <f t="shared" si="7"/>
        <v>#VALUE!</v>
      </c>
    </row>
    <row r="85" spans="1:24">
      <c r="A85" s="39" t="str">
        <f>IF(Bordero!B92="","",IF(Bordero!$G$3="Product",Bordero!J92,Bordero!D92))</f>
        <v/>
      </c>
      <c r="B85" s="39" t="str">
        <f>IF(Bordero!B92="","",Bordero!D92)</f>
        <v/>
      </c>
      <c r="C85" s="39" t="str">
        <f>IF(Bordero!B92="","",U85)</f>
        <v/>
      </c>
      <c r="D85" s="40" t="str">
        <f>IF(Bordero!B92="","",Bordero!$G$3)</f>
        <v/>
      </c>
      <c r="E85" s="22" t="str">
        <f>IF(Bordero!B92="","",(F85-Q85-Simulador!$H$6))</f>
        <v/>
      </c>
      <c r="F85" s="22" t="str">
        <f>IF(Bordero!B92="","",Bordero!I92)</f>
        <v/>
      </c>
      <c r="G85" s="16" t="str">
        <f>IF(Bordero!B92="","",Bordero!F92)</f>
        <v/>
      </c>
      <c r="H85" s="16" t="str">
        <f>IF(Bordero!B92="","",Bordero!E92)</f>
        <v/>
      </c>
      <c r="I85" s="41" t="str">
        <f>IF(Bordero!B92="","",Bordero!B92)</f>
        <v/>
      </c>
      <c r="J85" s="40" t="str">
        <f>IF(Bordero!B92="","",Bordero!C92)</f>
        <v/>
      </c>
      <c r="K85" s="42" t="str">
        <f>IF(Bordero!B92="","",Bordero!K92)</f>
        <v/>
      </c>
      <c r="L85" s="134" t="str">
        <f>IF(Bordero!B92="","",Bordero!$C$3)</f>
        <v/>
      </c>
      <c r="M85" s="43" t="str">
        <f>IF(Bordero!B92="","",Bordero!$C$4)</f>
        <v/>
      </c>
      <c r="N85" s="42" t="str">
        <f>IF(Bordero!B92="","","sim")</f>
        <v/>
      </c>
      <c r="O85" s="42" t="str">
        <f>IF(Bordero!B92="","","duplicata")</f>
        <v/>
      </c>
      <c r="P85" s="135" t="str">
        <f t="shared" si="5"/>
        <v/>
      </c>
      <c r="Q85" s="47" t="str">
        <f>IF(Bordero!B92="","",(1-(((Bordero!$I$6)+1)^R85))*F85*-1)</f>
        <v/>
      </c>
      <c r="R85" s="33" t="str">
        <f>IF(Bordero!B92="","",(X85-Bordero!$H$1)/30)</f>
        <v/>
      </c>
      <c r="S85" s="45" t="str">
        <f>Bordero!$C$5</f>
        <v>Gustavo Oliveira</v>
      </c>
      <c r="T85" s="45" t="str">
        <f>REPLACE(Bordero!$E$3,3,50,"")</f>
        <v>Co</v>
      </c>
      <c r="U85" t="str">
        <f t="shared" si="8"/>
        <v>Gustavo Oliveira/Co/</v>
      </c>
      <c r="W85">
        <f t="shared" si="6"/>
        <v>7</v>
      </c>
      <c r="X85" s="9" t="e">
        <f t="shared" si="7"/>
        <v>#VALUE!</v>
      </c>
    </row>
    <row r="86" spans="1:24">
      <c r="A86" s="39" t="str">
        <f>IF(Bordero!B93="","",IF(Bordero!$G$3="Product",Bordero!J93,Bordero!D93))</f>
        <v/>
      </c>
      <c r="B86" s="39" t="str">
        <f>IF(Bordero!B93="","",Bordero!D93)</f>
        <v/>
      </c>
      <c r="C86" s="39" t="str">
        <f>IF(Bordero!B93="","",U86)</f>
        <v/>
      </c>
      <c r="D86" s="40" t="str">
        <f>IF(Bordero!B93="","",Bordero!$G$3)</f>
        <v/>
      </c>
      <c r="E86" s="22" t="str">
        <f>IF(Bordero!B93="","",(F86-Q86-Simulador!$H$6))</f>
        <v/>
      </c>
      <c r="F86" s="22" t="str">
        <f>IF(Bordero!B93="","",Bordero!I93)</f>
        <v/>
      </c>
      <c r="G86" s="16" t="str">
        <f>IF(Bordero!B93="","",Bordero!F93)</f>
        <v/>
      </c>
      <c r="H86" s="16" t="str">
        <f>IF(Bordero!B93="","",Bordero!E93)</f>
        <v/>
      </c>
      <c r="I86" s="41" t="str">
        <f>IF(Bordero!B93="","",Bordero!B93)</f>
        <v/>
      </c>
      <c r="J86" s="40" t="str">
        <f>IF(Bordero!B93="","",Bordero!C93)</f>
        <v/>
      </c>
      <c r="K86" s="42" t="str">
        <f>IF(Bordero!B93="","",Bordero!K93)</f>
        <v/>
      </c>
      <c r="L86" s="134" t="str">
        <f>IF(Bordero!B93="","",Bordero!$C$3)</f>
        <v/>
      </c>
      <c r="M86" s="43" t="str">
        <f>IF(Bordero!B93="","",Bordero!$C$4)</f>
        <v/>
      </c>
      <c r="N86" s="42" t="str">
        <f>IF(Bordero!B93="","","sim")</f>
        <v/>
      </c>
      <c r="O86" s="42" t="str">
        <f>IF(Bordero!B93="","","duplicata")</f>
        <v/>
      </c>
      <c r="P86" s="135" t="str">
        <f t="shared" si="5"/>
        <v/>
      </c>
      <c r="Q86" s="47" t="str">
        <f>IF(Bordero!B93="","",(1-(((Bordero!$I$6)+1)^R86))*F86*-1)</f>
        <v/>
      </c>
      <c r="R86" s="33" t="str">
        <f>IF(Bordero!B93="","",(X86-Bordero!$H$1)/30)</f>
        <v/>
      </c>
      <c r="S86" s="45" t="str">
        <f>Bordero!$C$5</f>
        <v>Gustavo Oliveira</v>
      </c>
      <c r="T86" s="45" t="str">
        <f>REPLACE(Bordero!$E$3,3,50,"")</f>
        <v>Co</v>
      </c>
      <c r="U86" t="str">
        <f t="shared" si="8"/>
        <v>Gustavo Oliveira/Co/</v>
      </c>
      <c r="W86">
        <f t="shared" si="6"/>
        <v>7</v>
      </c>
      <c r="X86" s="9" t="e">
        <f t="shared" si="7"/>
        <v>#VALUE!</v>
      </c>
    </row>
    <row r="87" spans="1:24">
      <c r="A87" s="39" t="str">
        <f>IF(Bordero!B94="","",IF(Bordero!$G$3="Product",Bordero!J94,Bordero!D94))</f>
        <v/>
      </c>
      <c r="B87" s="39" t="str">
        <f>IF(Bordero!B94="","",Bordero!D94)</f>
        <v/>
      </c>
      <c r="C87" s="39" t="str">
        <f>IF(Bordero!B94="","",U87)</f>
        <v/>
      </c>
      <c r="D87" s="40" t="str">
        <f>IF(Bordero!B94="","",Bordero!$G$3)</f>
        <v/>
      </c>
      <c r="E87" s="22" t="str">
        <f>IF(Bordero!B94="","",(F87-Q87-Simulador!$H$6))</f>
        <v/>
      </c>
      <c r="F87" s="22" t="str">
        <f>IF(Bordero!B94="","",Bordero!I94)</f>
        <v/>
      </c>
      <c r="G87" s="16" t="str">
        <f>IF(Bordero!B94="","",Bordero!F94)</f>
        <v/>
      </c>
      <c r="H87" s="16" t="str">
        <f>IF(Bordero!B94="","",Bordero!E94)</f>
        <v/>
      </c>
      <c r="I87" s="41" t="str">
        <f>IF(Bordero!B94="","",Bordero!B94)</f>
        <v/>
      </c>
      <c r="J87" s="40" t="str">
        <f>IF(Bordero!B94="","",Bordero!C94)</f>
        <v/>
      </c>
      <c r="K87" s="42" t="str">
        <f>IF(Bordero!B94="","",Bordero!K94)</f>
        <v/>
      </c>
      <c r="L87" s="134" t="str">
        <f>IF(Bordero!B94="","",Bordero!$C$3)</f>
        <v/>
      </c>
      <c r="M87" s="43" t="str">
        <f>IF(Bordero!B94="","",Bordero!$C$4)</f>
        <v/>
      </c>
      <c r="N87" s="42" t="str">
        <f>IF(Bordero!B94="","","sim")</f>
        <v/>
      </c>
      <c r="O87" s="42" t="str">
        <f>IF(Bordero!B94="","","duplicata")</f>
        <v/>
      </c>
      <c r="P87" s="135" t="str">
        <f t="shared" si="5"/>
        <v/>
      </c>
      <c r="Q87" s="47" t="str">
        <f>IF(Bordero!B94="","",(1-(((Bordero!$I$6)+1)^R87))*F87*-1)</f>
        <v/>
      </c>
      <c r="R87" s="33" t="str">
        <f>IF(Bordero!B94="","",(X87-Bordero!$H$1)/30)</f>
        <v/>
      </c>
      <c r="S87" s="45" t="str">
        <f>Bordero!$C$5</f>
        <v>Gustavo Oliveira</v>
      </c>
      <c r="T87" s="45" t="str">
        <f>REPLACE(Bordero!$E$3,3,50,"")</f>
        <v>Co</v>
      </c>
      <c r="U87" t="str">
        <f t="shared" si="8"/>
        <v>Gustavo Oliveira/Co/</v>
      </c>
      <c r="W87">
        <f t="shared" si="6"/>
        <v>7</v>
      </c>
      <c r="X87" s="9" t="e">
        <f t="shared" si="7"/>
        <v>#VALUE!</v>
      </c>
    </row>
    <row r="88" spans="1:24">
      <c r="A88" s="39" t="str">
        <f>IF(Bordero!B95="","",IF(Bordero!$G$3="Product",Bordero!J95,Bordero!D95))</f>
        <v/>
      </c>
      <c r="B88" s="39" t="str">
        <f>IF(Bordero!B95="","",Bordero!D95)</f>
        <v/>
      </c>
      <c r="C88" s="39" t="str">
        <f>IF(Bordero!B95="","",U88)</f>
        <v/>
      </c>
      <c r="D88" s="40" t="str">
        <f>IF(Bordero!B95="","",Bordero!$G$3)</f>
        <v/>
      </c>
      <c r="E88" s="22" t="str">
        <f>IF(Bordero!B95="","",(F88-Q88-Simulador!$H$6))</f>
        <v/>
      </c>
      <c r="F88" s="22" t="str">
        <f>IF(Bordero!B95="","",Bordero!I95)</f>
        <v/>
      </c>
      <c r="G88" s="16" t="str">
        <f>IF(Bordero!B95="","",Bordero!F95)</f>
        <v/>
      </c>
      <c r="H88" s="16" t="str">
        <f>IF(Bordero!B95="","",Bordero!E95)</f>
        <v/>
      </c>
      <c r="I88" s="41" t="str">
        <f>IF(Bordero!B95="","",Bordero!B95)</f>
        <v/>
      </c>
      <c r="J88" s="40" t="str">
        <f>IF(Bordero!B95="","",Bordero!C95)</f>
        <v/>
      </c>
      <c r="K88" s="42" t="str">
        <f>IF(Bordero!B95="","",Bordero!K95)</f>
        <v/>
      </c>
      <c r="L88" s="134" t="str">
        <f>IF(Bordero!B95="","",Bordero!$C$3)</f>
        <v/>
      </c>
      <c r="M88" s="43" t="str">
        <f>IF(Bordero!B95="","",Bordero!$C$4)</f>
        <v/>
      </c>
      <c r="N88" s="42" t="str">
        <f>IF(Bordero!B95="","","sim")</f>
        <v/>
      </c>
      <c r="O88" s="42" t="str">
        <f>IF(Bordero!B95="","","duplicata")</f>
        <v/>
      </c>
      <c r="P88" s="135" t="str">
        <f t="shared" si="5"/>
        <v/>
      </c>
      <c r="Q88" s="47" t="str">
        <f>IF(Bordero!B95="","",(1-(((Bordero!$I$6)+1)^R88))*F88*-1)</f>
        <v/>
      </c>
      <c r="R88" s="33" t="str">
        <f>IF(Bordero!B95="","",(X88-Bordero!$H$1)/30)</f>
        <v/>
      </c>
      <c r="S88" s="45" t="str">
        <f>Bordero!$C$5</f>
        <v>Gustavo Oliveira</v>
      </c>
      <c r="T88" s="45" t="str">
        <f>REPLACE(Bordero!$E$3,3,50,"")</f>
        <v>Co</v>
      </c>
      <c r="U88" t="str">
        <f t="shared" si="8"/>
        <v>Gustavo Oliveira/Co/</v>
      </c>
      <c r="W88">
        <f t="shared" si="6"/>
        <v>7</v>
      </c>
      <c r="X88" s="9" t="e">
        <f t="shared" si="7"/>
        <v>#VALUE!</v>
      </c>
    </row>
    <row r="89" spans="1:24">
      <c r="A89" s="39" t="str">
        <f>IF(Bordero!B96="","",IF(Bordero!$G$3="Product",Bordero!J96,Bordero!D96))</f>
        <v/>
      </c>
      <c r="B89" s="39" t="str">
        <f>IF(Bordero!B96="","",Bordero!D96)</f>
        <v/>
      </c>
      <c r="C89" s="39" t="str">
        <f>IF(Bordero!B96="","",U89)</f>
        <v/>
      </c>
      <c r="D89" s="40" t="str">
        <f>IF(Bordero!B96="","",Bordero!$G$3)</f>
        <v/>
      </c>
      <c r="E89" s="22" t="str">
        <f>IF(Bordero!B96="","",(F89-Q89-Simulador!$H$6))</f>
        <v/>
      </c>
      <c r="F89" s="22" t="str">
        <f>IF(Bordero!B96="","",Bordero!I96)</f>
        <v/>
      </c>
      <c r="G89" s="16" t="str">
        <f>IF(Bordero!B96="","",Bordero!F96)</f>
        <v/>
      </c>
      <c r="H89" s="16" t="str">
        <f>IF(Bordero!B96="","",Bordero!E96)</f>
        <v/>
      </c>
      <c r="I89" s="41" t="str">
        <f>IF(Bordero!B96="","",Bordero!B96)</f>
        <v/>
      </c>
      <c r="J89" s="40" t="str">
        <f>IF(Bordero!B96="","",Bordero!C96)</f>
        <v/>
      </c>
      <c r="K89" s="42" t="str">
        <f>IF(Bordero!B96="","",Bordero!K96)</f>
        <v/>
      </c>
      <c r="L89" s="134" t="str">
        <f>IF(Bordero!B96="","",Bordero!$C$3)</f>
        <v/>
      </c>
      <c r="M89" s="43" t="str">
        <f>IF(Bordero!B96="","",Bordero!$C$4)</f>
        <v/>
      </c>
      <c r="N89" s="42" t="str">
        <f>IF(Bordero!B96="","","sim")</f>
        <v/>
      </c>
      <c r="O89" s="42" t="str">
        <f>IF(Bordero!B96="","","duplicata")</f>
        <v/>
      </c>
      <c r="P89" s="135" t="str">
        <f t="shared" si="5"/>
        <v/>
      </c>
      <c r="Q89" s="47" t="str">
        <f>IF(Bordero!B96="","",(1-(((Bordero!$I$6)+1)^R89))*F89*-1)</f>
        <v/>
      </c>
      <c r="R89" s="33" t="str">
        <f>IF(Bordero!B96="","",(X89-Bordero!$H$1)/30)</f>
        <v/>
      </c>
      <c r="S89" s="45" t="str">
        <f>Bordero!$C$5</f>
        <v>Gustavo Oliveira</v>
      </c>
      <c r="T89" s="45" t="str">
        <f>REPLACE(Bordero!$E$3,3,50,"")</f>
        <v>Co</v>
      </c>
      <c r="U89" t="str">
        <f t="shared" si="8"/>
        <v>Gustavo Oliveira/Co/</v>
      </c>
      <c r="W89">
        <f t="shared" si="6"/>
        <v>7</v>
      </c>
      <c r="X89" s="9" t="e">
        <f t="shared" si="7"/>
        <v>#VALUE!</v>
      </c>
    </row>
    <row r="90" spans="1:24">
      <c r="A90" s="39" t="str">
        <f>IF(Bordero!B97="","",IF(Bordero!$G$3="Product",Bordero!J97,Bordero!D97))</f>
        <v/>
      </c>
      <c r="B90" s="39" t="str">
        <f>IF(Bordero!B97="","",Bordero!D97)</f>
        <v/>
      </c>
      <c r="C90" s="39" t="str">
        <f>IF(Bordero!B97="","",U90)</f>
        <v/>
      </c>
      <c r="D90" s="40" t="str">
        <f>IF(Bordero!B97="","",Bordero!$G$3)</f>
        <v/>
      </c>
      <c r="E90" s="22" t="str">
        <f>IF(Bordero!B97="","",(F90-Q90-Simulador!$H$6))</f>
        <v/>
      </c>
      <c r="F90" s="22" t="str">
        <f>IF(Bordero!B97="","",Bordero!I97)</f>
        <v/>
      </c>
      <c r="G90" s="16" t="str">
        <f>IF(Bordero!B97="","",Bordero!F97)</f>
        <v/>
      </c>
      <c r="H90" s="16" t="str">
        <f>IF(Bordero!B97="","",Bordero!E97)</f>
        <v/>
      </c>
      <c r="I90" s="41" t="str">
        <f>IF(Bordero!B97="","",Bordero!B97)</f>
        <v/>
      </c>
      <c r="J90" s="40" t="str">
        <f>IF(Bordero!B97="","",Bordero!C97)</f>
        <v/>
      </c>
      <c r="K90" s="42" t="str">
        <f>IF(Bordero!B97="","",Bordero!K97)</f>
        <v/>
      </c>
      <c r="L90" s="134" t="str">
        <f>IF(Bordero!B97="","",Bordero!$C$3)</f>
        <v/>
      </c>
      <c r="M90" s="43" t="str">
        <f>IF(Bordero!B97="","",Bordero!$C$4)</f>
        <v/>
      </c>
      <c r="N90" s="42" t="str">
        <f>IF(Bordero!B97="","","sim")</f>
        <v/>
      </c>
      <c r="O90" s="42" t="str">
        <f>IF(Bordero!B97="","","duplicata")</f>
        <v/>
      </c>
      <c r="P90" s="135" t="str">
        <f t="shared" si="5"/>
        <v/>
      </c>
      <c r="Q90" s="47" t="str">
        <f>IF(Bordero!B97="","",(1-(((Bordero!$I$6)+1)^R90))*F90*-1)</f>
        <v/>
      </c>
      <c r="R90" s="33" t="str">
        <f>IF(Bordero!B97="","",(X90-Bordero!$H$1)/30)</f>
        <v/>
      </c>
      <c r="S90" s="45" t="str">
        <f>Bordero!$C$5</f>
        <v>Gustavo Oliveira</v>
      </c>
      <c r="T90" s="45" t="str">
        <f>REPLACE(Bordero!$E$3,3,50,"")</f>
        <v>Co</v>
      </c>
      <c r="U90" t="str">
        <f t="shared" si="8"/>
        <v>Gustavo Oliveira/Co/</v>
      </c>
      <c r="W90">
        <f t="shared" si="6"/>
        <v>7</v>
      </c>
      <c r="X90" s="9" t="e">
        <f t="shared" si="7"/>
        <v>#VALUE!</v>
      </c>
    </row>
    <row r="91" spans="1:24">
      <c r="A91" s="39" t="str">
        <f>IF(Bordero!B98="","",IF(Bordero!$G$3="Product",Bordero!J98,Bordero!D98))</f>
        <v/>
      </c>
      <c r="B91" s="39" t="str">
        <f>IF(Bordero!B98="","",Bordero!D98)</f>
        <v/>
      </c>
      <c r="C91" s="39" t="str">
        <f>IF(Bordero!B98="","",U91)</f>
        <v/>
      </c>
      <c r="D91" s="40" t="str">
        <f>IF(Bordero!B98="","",Bordero!$G$3)</f>
        <v/>
      </c>
      <c r="E91" s="22" t="str">
        <f>IF(Bordero!B98="","",(F91-Q91-Simulador!$H$6))</f>
        <v/>
      </c>
      <c r="F91" s="22" t="str">
        <f>IF(Bordero!B98="","",Bordero!I98)</f>
        <v/>
      </c>
      <c r="G91" s="16" t="str">
        <f>IF(Bordero!B98="","",Bordero!F98)</f>
        <v/>
      </c>
      <c r="H91" s="16" t="str">
        <f>IF(Bordero!B98="","",Bordero!E98)</f>
        <v/>
      </c>
      <c r="I91" s="41" t="str">
        <f>IF(Bordero!B98="","",Bordero!B98)</f>
        <v/>
      </c>
      <c r="J91" s="40" t="str">
        <f>IF(Bordero!B98="","",Bordero!C98)</f>
        <v/>
      </c>
      <c r="K91" s="42" t="str">
        <f>IF(Bordero!B98="","",Bordero!K98)</f>
        <v/>
      </c>
      <c r="L91" s="134" t="str">
        <f>IF(Bordero!B98="","",Bordero!$C$3)</f>
        <v/>
      </c>
      <c r="M91" s="43" t="str">
        <f>IF(Bordero!B98="","",Bordero!$C$4)</f>
        <v/>
      </c>
      <c r="N91" s="42" t="str">
        <f>IF(Bordero!B98="","","sim")</f>
        <v/>
      </c>
      <c r="O91" s="42" t="str">
        <f>IF(Bordero!B98="","","duplicata")</f>
        <v/>
      </c>
      <c r="P91" s="135" t="str">
        <f t="shared" si="5"/>
        <v/>
      </c>
      <c r="Q91" s="47" t="str">
        <f>IF(Bordero!B98="","",(1-(((Bordero!$I$6)+1)^R91))*F91*-1)</f>
        <v/>
      </c>
      <c r="R91" s="33" t="str">
        <f>IF(Bordero!B98="","",(X91-Bordero!$H$1)/30)</f>
        <v/>
      </c>
      <c r="S91" s="45" t="str">
        <f>Bordero!$C$5</f>
        <v>Gustavo Oliveira</v>
      </c>
      <c r="T91" s="45" t="str">
        <f>REPLACE(Bordero!$E$3,3,50,"")</f>
        <v>Co</v>
      </c>
      <c r="U91" t="str">
        <f t="shared" si="8"/>
        <v>Gustavo Oliveira/Co/</v>
      </c>
      <c r="W91">
        <f t="shared" si="6"/>
        <v>7</v>
      </c>
      <c r="X91" s="9" t="e">
        <f t="shared" si="7"/>
        <v>#VALUE!</v>
      </c>
    </row>
    <row r="92" spans="1:24">
      <c r="A92" s="39" t="str">
        <f>IF(Bordero!B99="","",IF(Bordero!$G$3="Product",Bordero!J99,Bordero!D99))</f>
        <v/>
      </c>
      <c r="B92" s="39" t="str">
        <f>IF(Bordero!B99="","",Bordero!D99)</f>
        <v/>
      </c>
      <c r="C92" s="39" t="str">
        <f>IF(Bordero!B99="","",U92)</f>
        <v/>
      </c>
      <c r="D92" s="40" t="str">
        <f>IF(Bordero!B99="","",Bordero!$G$3)</f>
        <v/>
      </c>
      <c r="E92" s="22" t="str">
        <f>IF(Bordero!B99="","",(F92-Q92-Simulador!$H$6))</f>
        <v/>
      </c>
      <c r="F92" s="22" t="str">
        <f>IF(Bordero!B99="","",Bordero!I99)</f>
        <v/>
      </c>
      <c r="G92" s="16" t="str">
        <f>IF(Bordero!B99="","",Bordero!F99)</f>
        <v/>
      </c>
      <c r="H92" s="16" t="str">
        <f>IF(Bordero!B99="","",Bordero!E99)</f>
        <v/>
      </c>
      <c r="I92" s="41" t="str">
        <f>IF(Bordero!B99="","",Bordero!B99)</f>
        <v/>
      </c>
      <c r="J92" s="40" t="str">
        <f>IF(Bordero!B99="","",Bordero!C99)</f>
        <v/>
      </c>
      <c r="K92" s="42" t="str">
        <f>IF(Bordero!B99="","",Bordero!K99)</f>
        <v/>
      </c>
      <c r="L92" s="134" t="str">
        <f>IF(Bordero!B99="","",Bordero!$C$3)</f>
        <v/>
      </c>
      <c r="M92" s="43" t="str">
        <f>IF(Bordero!B99="","",Bordero!$C$4)</f>
        <v/>
      </c>
      <c r="N92" s="42" t="str">
        <f>IF(Bordero!B99="","","sim")</f>
        <v/>
      </c>
      <c r="O92" s="42" t="str">
        <f>IF(Bordero!B99="","","duplicata")</f>
        <v/>
      </c>
      <c r="P92" s="135" t="str">
        <f t="shared" si="5"/>
        <v/>
      </c>
      <c r="Q92" s="47" t="str">
        <f>IF(Bordero!B99="","",(1-(((Bordero!$I$6)+1)^R92))*F92*-1)</f>
        <v/>
      </c>
      <c r="R92" s="33" t="str">
        <f>IF(Bordero!B99="","",(X92-Bordero!$H$1)/30)</f>
        <v/>
      </c>
      <c r="S92" s="45" t="str">
        <f>Bordero!$C$5</f>
        <v>Gustavo Oliveira</v>
      </c>
      <c r="T92" s="45" t="str">
        <f>REPLACE(Bordero!$E$3,3,50,"")</f>
        <v>Co</v>
      </c>
      <c r="U92" t="str">
        <f t="shared" si="8"/>
        <v>Gustavo Oliveira/Co/</v>
      </c>
      <c r="W92">
        <f t="shared" si="6"/>
        <v>7</v>
      </c>
      <c r="X92" s="9" t="e">
        <f t="shared" si="7"/>
        <v>#VALUE!</v>
      </c>
    </row>
    <row r="93" spans="1:24">
      <c r="A93" s="39" t="str">
        <f>IF(Bordero!B100="","",IF(Bordero!$G$3="Product",Bordero!J100,Bordero!D100))</f>
        <v/>
      </c>
      <c r="B93" s="39" t="str">
        <f>IF(Bordero!B100="","",Bordero!D100)</f>
        <v/>
      </c>
      <c r="C93" s="39" t="str">
        <f>IF(Bordero!B100="","",U93)</f>
        <v/>
      </c>
      <c r="D93" s="40" t="str">
        <f>IF(Bordero!B100="","",Bordero!$G$3)</f>
        <v/>
      </c>
      <c r="E93" s="22" t="str">
        <f>IF(Bordero!B100="","",(F93-Q93-Simulador!$H$6))</f>
        <v/>
      </c>
      <c r="F93" s="22" t="str">
        <f>IF(Bordero!B100="","",Bordero!I100)</f>
        <v/>
      </c>
      <c r="G93" s="16" t="str">
        <f>IF(Bordero!B100="","",Bordero!F100)</f>
        <v/>
      </c>
      <c r="H93" s="16" t="str">
        <f>IF(Bordero!B100="","",Bordero!E100)</f>
        <v/>
      </c>
      <c r="I93" s="41" t="str">
        <f>IF(Bordero!B100="","",Bordero!B100)</f>
        <v/>
      </c>
      <c r="J93" s="40" t="str">
        <f>IF(Bordero!B100="","",Bordero!C100)</f>
        <v/>
      </c>
      <c r="K93" s="42" t="str">
        <f>IF(Bordero!B100="","",Bordero!K100)</f>
        <v/>
      </c>
      <c r="L93" s="134" t="str">
        <f>IF(Bordero!B100="","",Bordero!$C$3)</f>
        <v/>
      </c>
      <c r="M93" s="43" t="str">
        <f>IF(Bordero!B100="","",Bordero!$C$4)</f>
        <v/>
      </c>
      <c r="N93" s="42" t="str">
        <f>IF(Bordero!B100="","","sim")</f>
        <v/>
      </c>
      <c r="O93" s="42" t="str">
        <f>IF(Bordero!B100="","","duplicata")</f>
        <v/>
      </c>
      <c r="P93" s="135" t="str">
        <f t="shared" si="5"/>
        <v/>
      </c>
      <c r="Q93" s="47" t="str">
        <f>IF(Bordero!B100="","",(1-(((Bordero!$I$6)+1)^R93))*F93*-1)</f>
        <v/>
      </c>
      <c r="R93" s="33" t="str">
        <f>IF(Bordero!B100="","",(X93-Bordero!$H$1)/30)</f>
        <v/>
      </c>
      <c r="S93" s="45" t="str">
        <f>Bordero!$C$5</f>
        <v>Gustavo Oliveira</v>
      </c>
      <c r="T93" s="45" t="str">
        <f>REPLACE(Bordero!$E$3,3,50,"")</f>
        <v>Co</v>
      </c>
      <c r="U93" t="str">
        <f t="shared" si="8"/>
        <v>Gustavo Oliveira/Co/</v>
      </c>
      <c r="W93">
        <f t="shared" si="6"/>
        <v>7</v>
      </c>
      <c r="X93" s="9" t="e">
        <f t="shared" si="7"/>
        <v>#VALUE!</v>
      </c>
    </row>
    <row r="94" spans="1:24">
      <c r="A94" s="39" t="str">
        <f>IF(Bordero!B101="","",IF(Bordero!$G$3="Product",Bordero!J101,Bordero!D101))</f>
        <v/>
      </c>
      <c r="B94" s="39" t="str">
        <f>IF(Bordero!B101="","",Bordero!D101)</f>
        <v/>
      </c>
      <c r="C94" s="39" t="str">
        <f>IF(Bordero!B101="","",U94)</f>
        <v/>
      </c>
      <c r="D94" s="40" t="str">
        <f>IF(Bordero!B101="","",Bordero!$G$3)</f>
        <v/>
      </c>
      <c r="E94" s="22" t="str">
        <f>IF(Bordero!B101="","",(F94-Q94-Simulador!$H$6))</f>
        <v/>
      </c>
      <c r="F94" s="22" t="str">
        <f>IF(Bordero!B101="","",Bordero!I101)</f>
        <v/>
      </c>
      <c r="G94" s="16" t="str">
        <f>IF(Bordero!B101="","",Bordero!F101)</f>
        <v/>
      </c>
      <c r="H94" s="16" t="str">
        <f>IF(Bordero!B101="","",Bordero!E101)</f>
        <v/>
      </c>
      <c r="I94" s="41" t="str">
        <f>IF(Bordero!B101="","",Bordero!B101)</f>
        <v/>
      </c>
      <c r="J94" s="40" t="str">
        <f>IF(Bordero!B101="","",Bordero!C101)</f>
        <v/>
      </c>
      <c r="K94" s="42" t="str">
        <f>IF(Bordero!B101="","",Bordero!K101)</f>
        <v/>
      </c>
      <c r="L94" s="134" t="str">
        <f>IF(Bordero!B101="","",Bordero!$C$3)</f>
        <v/>
      </c>
      <c r="M94" s="43" t="str">
        <f>IF(Bordero!B101="","",Bordero!$C$4)</f>
        <v/>
      </c>
      <c r="N94" s="42" t="str">
        <f>IF(Bordero!B101="","","sim")</f>
        <v/>
      </c>
      <c r="O94" s="42" t="str">
        <f>IF(Bordero!B101="","","duplicata")</f>
        <v/>
      </c>
      <c r="P94" s="135" t="str">
        <f t="shared" si="5"/>
        <v/>
      </c>
      <c r="Q94" s="47" t="str">
        <f>IF(Bordero!B101="","",(1-(((Bordero!$I$6)+1)^R94))*F94*-1)</f>
        <v/>
      </c>
      <c r="R94" s="33" t="str">
        <f>IF(Bordero!B101="","",(X94-Bordero!$H$1)/30)</f>
        <v/>
      </c>
      <c r="S94" s="45" t="str">
        <f>Bordero!$C$5</f>
        <v>Gustavo Oliveira</v>
      </c>
      <c r="T94" s="45" t="str">
        <f>REPLACE(Bordero!$E$3,3,50,"")</f>
        <v>Co</v>
      </c>
      <c r="U94" t="str">
        <f t="shared" si="8"/>
        <v>Gustavo Oliveira/Co/</v>
      </c>
      <c r="W94">
        <f t="shared" si="6"/>
        <v>7</v>
      </c>
      <c r="X94" s="9" t="e">
        <f t="shared" si="7"/>
        <v>#VALUE!</v>
      </c>
    </row>
    <row r="95" spans="1:24">
      <c r="A95" s="39" t="str">
        <f>IF(Bordero!B102="","",IF(Bordero!$G$3="Product",Bordero!J102,Bordero!D102))</f>
        <v/>
      </c>
      <c r="B95" s="39" t="str">
        <f>IF(Bordero!B102="","",Bordero!D102)</f>
        <v/>
      </c>
      <c r="C95" s="39" t="str">
        <f>IF(Bordero!B102="","",U95)</f>
        <v/>
      </c>
      <c r="D95" s="40" t="str">
        <f>IF(Bordero!B102="","",Bordero!$G$3)</f>
        <v/>
      </c>
      <c r="E95" s="22" t="str">
        <f>IF(Bordero!B102="","",(F95-Q95-Simulador!$H$6))</f>
        <v/>
      </c>
      <c r="F95" s="22" t="str">
        <f>IF(Bordero!B102="","",Bordero!I102)</f>
        <v/>
      </c>
      <c r="G95" s="16" t="str">
        <f>IF(Bordero!B102="","",Bordero!F102)</f>
        <v/>
      </c>
      <c r="H95" s="16" t="str">
        <f>IF(Bordero!B102="","",Bordero!E102)</f>
        <v/>
      </c>
      <c r="I95" s="41" t="str">
        <f>IF(Bordero!B102="","",Bordero!B102)</f>
        <v/>
      </c>
      <c r="J95" s="40" t="str">
        <f>IF(Bordero!B102="","",Bordero!C102)</f>
        <v/>
      </c>
      <c r="K95" s="42" t="str">
        <f>IF(Bordero!B102="","",Bordero!K102)</f>
        <v/>
      </c>
      <c r="L95" s="134" t="str">
        <f>IF(Bordero!B102="","",Bordero!$C$3)</f>
        <v/>
      </c>
      <c r="M95" s="43" t="str">
        <f>IF(Bordero!B102="","",Bordero!$C$4)</f>
        <v/>
      </c>
      <c r="N95" s="42" t="str">
        <f>IF(Bordero!B102="","","sim")</f>
        <v/>
      </c>
      <c r="O95" s="42" t="str">
        <f>IF(Bordero!B102="","","duplicata")</f>
        <v/>
      </c>
      <c r="P95" s="135" t="str">
        <f t="shared" si="5"/>
        <v/>
      </c>
      <c r="Q95" s="47" t="str">
        <f>IF(Bordero!B102="","",(1-(((Bordero!$I$6)+1)^R95))*F95*-1)</f>
        <v/>
      </c>
      <c r="R95" s="33" t="str">
        <f>IF(Bordero!B102="","",(X95-Bordero!$H$1)/30)</f>
        <v/>
      </c>
      <c r="S95" s="45" t="str">
        <f>Bordero!$C$5</f>
        <v>Gustavo Oliveira</v>
      </c>
      <c r="T95" s="45" t="str">
        <f>REPLACE(Bordero!$E$3,3,50,"")</f>
        <v>Co</v>
      </c>
      <c r="U95" t="str">
        <f t="shared" si="8"/>
        <v>Gustavo Oliveira/Co/</v>
      </c>
      <c r="W95">
        <f t="shared" si="6"/>
        <v>7</v>
      </c>
      <c r="X95" s="9" t="e">
        <f t="shared" si="7"/>
        <v>#VALUE!</v>
      </c>
    </row>
    <row r="96" spans="1:24">
      <c r="A96" s="39" t="str">
        <f>IF(Bordero!B103="","",IF(Bordero!$G$3="Product",Bordero!J103,Bordero!D103))</f>
        <v/>
      </c>
      <c r="B96" s="39" t="str">
        <f>IF(Bordero!B103="","",Bordero!D103)</f>
        <v/>
      </c>
      <c r="C96" s="39" t="str">
        <f>IF(Bordero!B103="","",U96)</f>
        <v/>
      </c>
      <c r="D96" s="40" t="str">
        <f>IF(Bordero!B103="","",Bordero!$G$3)</f>
        <v/>
      </c>
      <c r="E96" s="22" t="str">
        <f>IF(Bordero!B103="","",(F96-Q96-Simulador!$H$6))</f>
        <v/>
      </c>
      <c r="F96" s="22" t="str">
        <f>IF(Bordero!B103="","",Bordero!I103)</f>
        <v/>
      </c>
      <c r="G96" s="16" t="str">
        <f>IF(Bordero!B103="","",Bordero!F103)</f>
        <v/>
      </c>
      <c r="H96" s="16" t="str">
        <f>IF(Bordero!B103="","",Bordero!E103)</f>
        <v/>
      </c>
      <c r="I96" s="41" t="str">
        <f>IF(Bordero!B103="","",Bordero!B103)</f>
        <v/>
      </c>
      <c r="J96" s="40" t="str">
        <f>IF(Bordero!B103="","",Bordero!C103)</f>
        <v/>
      </c>
      <c r="K96" s="42" t="str">
        <f>IF(Bordero!B103="","",Bordero!K103)</f>
        <v/>
      </c>
      <c r="L96" s="134" t="str">
        <f>IF(Bordero!B103="","",Bordero!$C$3)</f>
        <v/>
      </c>
      <c r="M96" s="43" t="str">
        <f>IF(Bordero!B103="","",Bordero!$C$4)</f>
        <v/>
      </c>
      <c r="N96" s="42" t="str">
        <f>IF(Bordero!B103="","","sim")</f>
        <v/>
      </c>
      <c r="O96" s="42" t="str">
        <f>IF(Bordero!B103="","","duplicata")</f>
        <v/>
      </c>
      <c r="P96" s="135" t="str">
        <f t="shared" si="5"/>
        <v/>
      </c>
      <c r="Q96" s="47" t="str">
        <f>IF(Bordero!B103="","",(1-(((Bordero!$I$6)+1)^R96))*F96*-1)</f>
        <v/>
      </c>
      <c r="R96" s="33" t="str">
        <f>IF(Bordero!B103="","",(X96-Bordero!$H$1)/30)</f>
        <v/>
      </c>
      <c r="S96" s="45" t="str">
        <f>Bordero!$C$5</f>
        <v>Gustavo Oliveira</v>
      </c>
      <c r="T96" s="45" t="str">
        <f>REPLACE(Bordero!$E$3,3,50,"")</f>
        <v>Co</v>
      </c>
      <c r="U96" t="str">
        <f t="shared" si="8"/>
        <v>Gustavo Oliveira/Co/</v>
      </c>
      <c r="W96">
        <f t="shared" si="6"/>
        <v>7</v>
      </c>
      <c r="X96" s="9" t="e">
        <f t="shared" si="7"/>
        <v>#VALUE!</v>
      </c>
    </row>
    <row r="97" spans="1:24">
      <c r="A97" s="39" t="str">
        <f>IF(Bordero!B104="","",IF(Bordero!$G$3="Product",Bordero!J104,Bordero!D104))</f>
        <v/>
      </c>
      <c r="B97" s="39" t="str">
        <f>IF(Bordero!B104="","",Bordero!D104)</f>
        <v/>
      </c>
      <c r="C97" s="39" t="str">
        <f>IF(Bordero!B104="","",U97)</f>
        <v/>
      </c>
      <c r="D97" s="40" t="str">
        <f>IF(Bordero!B104="","",Bordero!$G$3)</f>
        <v/>
      </c>
      <c r="E97" s="22" t="str">
        <f>IF(Bordero!B104="","",(F97-Q97-Simulador!$H$6))</f>
        <v/>
      </c>
      <c r="F97" s="22" t="str">
        <f>IF(Bordero!B104="","",Bordero!I104)</f>
        <v/>
      </c>
      <c r="G97" s="16" t="str">
        <f>IF(Bordero!B104="","",Bordero!F104)</f>
        <v/>
      </c>
      <c r="H97" s="16" t="str">
        <f>IF(Bordero!B104="","",Bordero!E104)</f>
        <v/>
      </c>
      <c r="I97" s="41" t="str">
        <f>IF(Bordero!B104="","",Bordero!B104)</f>
        <v/>
      </c>
      <c r="J97" s="40" t="str">
        <f>IF(Bordero!B104="","",Bordero!C104)</f>
        <v/>
      </c>
      <c r="K97" s="42" t="str">
        <f>IF(Bordero!B104="","",Bordero!K104)</f>
        <v/>
      </c>
      <c r="L97" s="134" t="str">
        <f>IF(Bordero!B104="","",Bordero!$C$3)</f>
        <v/>
      </c>
      <c r="M97" s="43" t="str">
        <f>IF(Bordero!B104="","",Bordero!$C$4)</f>
        <v/>
      </c>
      <c r="N97" s="42" t="str">
        <f>IF(Bordero!B104="","","sim")</f>
        <v/>
      </c>
      <c r="O97" s="42" t="str">
        <f>IF(Bordero!B104="","","duplicata")</f>
        <v/>
      </c>
      <c r="P97" s="135" t="str">
        <f t="shared" si="5"/>
        <v/>
      </c>
      <c r="Q97" s="47" t="str">
        <f>IF(Bordero!B104="","",(1-(((Bordero!$I$6)+1)^R97))*F97*-1)</f>
        <v/>
      </c>
      <c r="R97" s="33" t="str">
        <f>IF(Bordero!B104="","",(X97-Bordero!$H$1)/30)</f>
        <v/>
      </c>
      <c r="S97" s="45" t="str">
        <f>Bordero!$C$5</f>
        <v>Gustavo Oliveira</v>
      </c>
      <c r="T97" s="45" t="str">
        <f>REPLACE(Bordero!$E$3,3,50,"")</f>
        <v>Co</v>
      </c>
      <c r="U97" t="str">
        <f t="shared" si="8"/>
        <v>Gustavo Oliveira/Co/</v>
      </c>
      <c r="W97">
        <f t="shared" si="6"/>
        <v>7</v>
      </c>
      <c r="X97" s="9" t="e">
        <f t="shared" si="7"/>
        <v>#VALUE!</v>
      </c>
    </row>
    <row r="98" spans="1:24">
      <c r="A98" s="39" t="str">
        <f>IF(Bordero!B105="","",IF(Bordero!$G$3="Product",Bordero!J105,Bordero!D105))</f>
        <v/>
      </c>
      <c r="B98" s="39" t="str">
        <f>IF(Bordero!B105="","",Bordero!D105)</f>
        <v/>
      </c>
      <c r="C98" s="39" t="str">
        <f>IF(Bordero!B105="","",U98)</f>
        <v/>
      </c>
      <c r="D98" s="40" t="str">
        <f>IF(Bordero!B105="","",Bordero!$G$3)</f>
        <v/>
      </c>
      <c r="E98" s="22" t="str">
        <f>IF(Bordero!B105="","",(F98-Q98-Simulador!$H$6))</f>
        <v/>
      </c>
      <c r="F98" s="22" t="str">
        <f>IF(Bordero!B105="","",Bordero!I105)</f>
        <v/>
      </c>
      <c r="G98" s="16" t="str">
        <f>IF(Bordero!B105="","",Bordero!F105)</f>
        <v/>
      </c>
      <c r="H98" s="16" t="str">
        <f>IF(Bordero!B105="","",Bordero!E105)</f>
        <v/>
      </c>
      <c r="I98" s="41" t="str">
        <f>IF(Bordero!B105="","",Bordero!B105)</f>
        <v/>
      </c>
      <c r="J98" s="40" t="str">
        <f>IF(Bordero!B105="","",Bordero!C105)</f>
        <v/>
      </c>
      <c r="K98" s="42" t="str">
        <f>IF(Bordero!B105="","",Bordero!K105)</f>
        <v/>
      </c>
      <c r="L98" s="134" t="str">
        <f>IF(Bordero!B105="","",Bordero!$C$3)</f>
        <v/>
      </c>
      <c r="M98" s="43" t="str">
        <f>IF(Bordero!B105="","",Bordero!$C$4)</f>
        <v/>
      </c>
      <c r="N98" s="42" t="str">
        <f>IF(Bordero!B105="","","sim")</f>
        <v/>
      </c>
      <c r="O98" s="42" t="str">
        <f>IF(Bordero!B105="","","duplicata")</f>
        <v/>
      </c>
      <c r="P98" s="135" t="str">
        <f t="shared" si="5"/>
        <v/>
      </c>
      <c r="Q98" s="47" t="str">
        <f>IF(Bordero!B105="","",(1-(((Bordero!$I$6)+1)^R98))*F98*-1)</f>
        <v/>
      </c>
      <c r="R98" s="33" t="str">
        <f>IF(Bordero!B105="","",(X98-Bordero!$H$1)/30)</f>
        <v/>
      </c>
      <c r="S98" s="45" t="str">
        <f>Bordero!$C$5</f>
        <v>Gustavo Oliveira</v>
      </c>
      <c r="T98" s="45" t="str">
        <f>REPLACE(Bordero!$E$3,3,50,"")</f>
        <v>Co</v>
      </c>
      <c r="U98" t="str">
        <f t="shared" si="8"/>
        <v>Gustavo Oliveira/Co/</v>
      </c>
      <c r="W98">
        <f t="shared" si="6"/>
        <v>7</v>
      </c>
      <c r="X98" s="9" t="e">
        <f t="shared" si="7"/>
        <v>#VALUE!</v>
      </c>
    </row>
    <row r="99" spans="1:24">
      <c r="A99" s="39" t="str">
        <f>IF(Bordero!B106="","",IF(Bordero!$G$3="Product",Bordero!J106,Bordero!D106))</f>
        <v/>
      </c>
      <c r="B99" s="39" t="str">
        <f>IF(Bordero!B106="","",Bordero!D106)</f>
        <v/>
      </c>
      <c r="C99" s="39" t="str">
        <f>IF(Bordero!B106="","",U99)</f>
        <v/>
      </c>
      <c r="D99" s="40" t="str">
        <f>IF(Bordero!B106="","",Bordero!$G$3)</f>
        <v/>
      </c>
      <c r="E99" s="22" t="str">
        <f>IF(Bordero!B106="","",(F99-Q99-Simulador!$H$6))</f>
        <v/>
      </c>
      <c r="F99" s="22" t="str">
        <f>IF(Bordero!B106="","",Bordero!I106)</f>
        <v/>
      </c>
      <c r="G99" s="16" t="str">
        <f>IF(Bordero!B106="","",Bordero!F106)</f>
        <v/>
      </c>
      <c r="H99" s="16" t="str">
        <f>IF(Bordero!B106="","",Bordero!E106)</f>
        <v/>
      </c>
      <c r="I99" s="41" t="str">
        <f>IF(Bordero!B106="","",Bordero!B106)</f>
        <v/>
      </c>
      <c r="J99" s="40" t="str">
        <f>IF(Bordero!B106="","",Bordero!C106)</f>
        <v/>
      </c>
      <c r="K99" s="42" t="str">
        <f>IF(Bordero!B106="","",Bordero!K106)</f>
        <v/>
      </c>
      <c r="L99" s="134" t="str">
        <f>IF(Bordero!B106="","",Bordero!$C$3)</f>
        <v/>
      </c>
      <c r="M99" s="43" t="str">
        <f>IF(Bordero!B106="","",Bordero!$C$4)</f>
        <v/>
      </c>
      <c r="N99" s="42" t="str">
        <f>IF(Bordero!B106="","","sim")</f>
        <v/>
      </c>
      <c r="O99" s="42" t="str">
        <f>IF(Bordero!B106="","","duplicata")</f>
        <v/>
      </c>
      <c r="P99" s="135" t="str">
        <f t="shared" si="5"/>
        <v/>
      </c>
      <c r="Q99" s="47" t="str">
        <f>IF(Bordero!B106="","",(1-(((Bordero!$I$6)+1)^R99))*F99*-1)</f>
        <v/>
      </c>
      <c r="R99" s="33" t="str">
        <f>IF(Bordero!B106="","",(X99-Bordero!$H$1)/30)</f>
        <v/>
      </c>
      <c r="S99" s="45" t="str">
        <f>Bordero!$C$5</f>
        <v>Gustavo Oliveira</v>
      </c>
      <c r="T99" s="45" t="str">
        <f>REPLACE(Bordero!$E$3,3,50,"")</f>
        <v>Co</v>
      </c>
      <c r="U99" t="str">
        <f t="shared" si="8"/>
        <v>Gustavo Oliveira/Co/</v>
      </c>
      <c r="W99">
        <f t="shared" si="6"/>
        <v>7</v>
      </c>
      <c r="X99" s="9" t="e">
        <f t="shared" si="7"/>
        <v>#VALUE!</v>
      </c>
    </row>
    <row r="100" spans="1:24">
      <c r="A100" s="39" t="str">
        <f>IF(Bordero!B107="","",IF(Bordero!$G$3="Product",Bordero!J107,Bordero!D107))</f>
        <v/>
      </c>
      <c r="B100" s="39" t="str">
        <f>IF(Bordero!B107="","",Bordero!D107)</f>
        <v/>
      </c>
      <c r="C100" s="39" t="str">
        <f>IF(Bordero!B107="","",U100)</f>
        <v/>
      </c>
      <c r="D100" s="40" t="str">
        <f>IF(Bordero!B107="","",Bordero!$G$3)</f>
        <v/>
      </c>
      <c r="E100" s="22" t="str">
        <f>IF(Bordero!B107="","",(F100-Q100-Simulador!$H$6))</f>
        <v/>
      </c>
      <c r="F100" s="22" t="str">
        <f>IF(Bordero!B107="","",Bordero!I107)</f>
        <v/>
      </c>
      <c r="G100" s="16" t="str">
        <f>IF(Bordero!B107="","",Bordero!F107)</f>
        <v/>
      </c>
      <c r="H100" s="16" t="str">
        <f>IF(Bordero!B107="","",Bordero!E107)</f>
        <v/>
      </c>
      <c r="I100" s="41" t="str">
        <f>IF(Bordero!B107="","",Bordero!B107)</f>
        <v/>
      </c>
      <c r="J100" s="40" t="str">
        <f>IF(Bordero!B107="","",Bordero!C107)</f>
        <v/>
      </c>
      <c r="K100" s="42" t="str">
        <f>IF(Bordero!B107="","",Bordero!K107)</f>
        <v/>
      </c>
      <c r="L100" s="134" t="str">
        <f>IF(Bordero!B107="","",Bordero!$C$3)</f>
        <v/>
      </c>
      <c r="M100" s="43" t="str">
        <f>IF(Bordero!B107="","",Bordero!$C$4)</f>
        <v/>
      </c>
      <c r="N100" s="42" t="str">
        <f>IF(Bordero!B107="","","sim")</f>
        <v/>
      </c>
      <c r="O100" s="42" t="str">
        <f>IF(Bordero!B107="","","duplicata")</f>
        <v/>
      </c>
      <c r="P100" s="135" t="str">
        <f t="shared" si="5"/>
        <v/>
      </c>
      <c r="Q100" s="47" t="str">
        <f>IF(Bordero!B107="","",(1-(((Bordero!$I$6)+1)^R100))*F100*-1)</f>
        <v/>
      </c>
      <c r="R100" s="33" t="str">
        <f>IF(Bordero!B107="","",(X100-Bordero!$H$1)/30)</f>
        <v/>
      </c>
      <c r="S100" s="45" t="str">
        <f>Bordero!$C$5</f>
        <v>Gustavo Oliveira</v>
      </c>
      <c r="T100" s="45" t="str">
        <f>REPLACE(Bordero!$E$3,3,50,"")</f>
        <v>Co</v>
      </c>
      <c r="U100" t="str">
        <f t="shared" si="8"/>
        <v>Gustavo Oliveira/Co/</v>
      </c>
      <c r="W100">
        <f t="shared" si="6"/>
        <v>7</v>
      </c>
      <c r="X100" s="9" t="e">
        <f t="shared" si="7"/>
        <v>#VALUE!</v>
      </c>
    </row>
    <row r="101" spans="1:24">
      <c r="A101" s="39" t="str">
        <f>IF(Bordero!B108="","",IF(Bordero!$G$3="Product",Bordero!J108,Bordero!D108))</f>
        <v/>
      </c>
      <c r="B101" s="39" t="str">
        <f>IF(Bordero!B108="","",Bordero!D108)</f>
        <v/>
      </c>
      <c r="C101" s="39" t="str">
        <f>IF(Bordero!B108="","",U101)</f>
        <v/>
      </c>
      <c r="D101" s="40" t="str">
        <f>IF(Bordero!B108="","",Bordero!$G$3)</f>
        <v/>
      </c>
      <c r="E101" s="22" t="str">
        <f>IF(Bordero!B108="","",(F101-Q101-Simulador!$H$6))</f>
        <v/>
      </c>
      <c r="F101" s="22" t="str">
        <f>IF(Bordero!B108="","",Bordero!I108)</f>
        <v/>
      </c>
      <c r="G101" s="16" t="str">
        <f>IF(Bordero!B108="","",Bordero!F108)</f>
        <v/>
      </c>
      <c r="H101" s="16" t="str">
        <f>IF(Bordero!B108="","",Bordero!E108)</f>
        <v/>
      </c>
      <c r="I101" s="41" t="str">
        <f>IF(Bordero!B108="","",Bordero!B108)</f>
        <v/>
      </c>
      <c r="J101" s="40" t="str">
        <f>IF(Bordero!B108="","",Bordero!C108)</f>
        <v/>
      </c>
      <c r="K101" s="42" t="str">
        <f>IF(Bordero!B108="","",Bordero!K108)</f>
        <v/>
      </c>
      <c r="L101" s="134" t="str">
        <f>IF(Bordero!B108="","",Bordero!$C$3)</f>
        <v/>
      </c>
      <c r="M101" s="43" t="str">
        <f>IF(Bordero!B108="","",Bordero!$C$4)</f>
        <v/>
      </c>
      <c r="N101" s="42" t="str">
        <f>IF(Bordero!B108="","","sim")</f>
        <v/>
      </c>
      <c r="O101" s="42" t="str">
        <f>IF(Bordero!B108="","","duplicata")</f>
        <v/>
      </c>
      <c r="P101" s="135" t="str">
        <f t="shared" ref="P101" si="9">L101</f>
        <v/>
      </c>
      <c r="Q101" s="47" t="str">
        <f>IF(Bordero!B108="","",(1-(((Bordero!$I$6)+1)^R101))*F101*-1)</f>
        <v/>
      </c>
      <c r="R101" s="33" t="str">
        <f>IF(Bordero!B108="","",(X101-Bordero!$H$1)/30)</f>
        <v/>
      </c>
      <c r="S101" s="45" t="str">
        <f>Bordero!$C$5</f>
        <v>Gustavo Oliveira</v>
      </c>
      <c r="T101" s="45" t="str">
        <f>REPLACE(Bordero!$E$3,3,50,"")</f>
        <v>Co</v>
      </c>
      <c r="U101" t="str">
        <f t="shared" si="8"/>
        <v>Gustavo Oliveira/Co/</v>
      </c>
      <c r="W101">
        <f t="shared" ref="W101" si="10">WEEKDAY(V101,1)</f>
        <v>7</v>
      </c>
      <c r="X101" s="9" t="e">
        <f t="shared" ref="X101" si="11">IF(G101=1,G101+2,IF(G101=7,G101+3,G101+1))</f>
        <v>#VALUE!</v>
      </c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7" r:id="rId3" name="Button 5">
              <controlPr defaultSize="0" print="0" autoFill="0" autoPict="0" macro="[0]!ExportarA">
                <anchor moveWithCells="1">
                  <from>
                    <xdr:col>24</xdr:col>
                    <xdr:colOff>19050</xdr:colOff>
                    <xdr:row>0</xdr:row>
                    <xdr:rowOff>171450</xdr:rowOff>
                  </from>
                  <to>
                    <xdr:col>25</xdr:col>
                    <xdr:colOff>104775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CE8A-1A3C-4DD5-90BF-1425F4DD209A}">
  <sheetPr codeName="Planilha5"/>
  <dimension ref="A1:M108"/>
  <sheetViews>
    <sheetView showGridLines="0" topLeftCell="A3" zoomScale="80" zoomScaleNormal="80" workbookViewId="0">
      <selection activeCell="C20" sqref="C20"/>
    </sheetView>
  </sheetViews>
  <sheetFormatPr defaultRowHeight="15"/>
  <cols>
    <col min="1" max="1" width="12.85546875" customWidth="1"/>
    <col min="2" max="2" width="21.7109375" customWidth="1"/>
    <col min="3" max="3" width="30.7109375" customWidth="1"/>
    <col min="4" max="4" width="14.85546875" bestFit="1" customWidth="1"/>
    <col min="5" max="5" width="14.85546875" customWidth="1"/>
    <col min="6" max="7" width="14.5703125" bestFit="1" customWidth="1"/>
    <col min="8" max="8" width="15.7109375" bestFit="1" customWidth="1"/>
    <col min="9" max="9" width="29.5703125" customWidth="1"/>
    <col min="10" max="10" width="14.7109375" style="7" customWidth="1"/>
    <col min="11" max="11" width="12.85546875" style="7" customWidth="1"/>
    <col min="12" max="12" width="13.140625" customWidth="1"/>
  </cols>
  <sheetData>
    <row r="1" spans="1:13" s="1" customFormat="1" ht="20.25" customHeight="1">
      <c r="A1" s="232" t="s">
        <v>134</v>
      </c>
      <c r="B1" s="233"/>
      <c r="C1" s="233"/>
      <c r="D1" s="233"/>
      <c r="E1" s="234"/>
      <c r="F1" s="57" t="s">
        <v>89</v>
      </c>
      <c r="G1" s="235" t="str">
        <f>Bordero!C5</f>
        <v>Gustavo Oliveira</v>
      </c>
      <c r="H1" s="236"/>
      <c r="I1" s="220"/>
      <c r="J1" s="221"/>
      <c r="K1" s="222"/>
      <c r="L1" s="140">
        <f ca="1">TODAY()</f>
        <v>46199</v>
      </c>
    </row>
    <row r="2" spans="1:13" s="49" customFormat="1" ht="19.5" customHeight="1" thickBot="1">
      <c r="A2" s="82" t="s">
        <v>137</v>
      </c>
      <c r="B2" s="240" t="str">
        <f>Bordero!C4</f>
        <v>LOGMA ENGENHARIA INDUSTRIAL LTDA</v>
      </c>
      <c r="C2" s="240"/>
      <c r="D2" s="240"/>
      <c r="E2" s="240"/>
      <c r="F2" s="240"/>
      <c r="G2" s="240"/>
      <c r="H2" s="241"/>
      <c r="I2" s="223"/>
      <c r="J2" s="224"/>
      <c r="K2" s="225"/>
    </row>
    <row r="3" spans="1:13" s="49" customFormat="1" ht="19.5" customHeight="1">
      <c r="A3" s="79" t="s">
        <v>138</v>
      </c>
      <c r="B3" s="237">
        <f>Bordero!C3</f>
        <v>35071253000130</v>
      </c>
      <c r="C3" s="238"/>
      <c r="D3" s="239"/>
      <c r="E3" s="136"/>
      <c r="F3" s="137"/>
      <c r="G3" s="137"/>
      <c r="H3" s="138"/>
      <c r="I3" s="223"/>
      <c r="J3" s="224"/>
      <c r="K3" s="225"/>
      <c r="M3" s="50"/>
    </row>
    <row r="4" spans="1:13" s="49" customFormat="1" ht="19.5" customHeight="1">
      <c r="A4" s="56" t="s">
        <v>135</v>
      </c>
      <c r="B4" s="54">
        <f>Bordero!C6</f>
        <v>50000</v>
      </c>
      <c r="C4" s="228" t="s">
        <v>133</v>
      </c>
      <c r="D4" s="230">
        <f>Bordero!I4</f>
        <v>0</v>
      </c>
      <c r="E4" s="141" t="str">
        <f>Bordero!H5</f>
        <v>Ad.</v>
      </c>
      <c r="F4" s="141" t="s">
        <v>179</v>
      </c>
      <c r="H4" s="139"/>
      <c r="I4" s="223"/>
      <c r="J4" s="224"/>
      <c r="K4" s="225"/>
    </row>
    <row r="5" spans="1:13" s="49" customFormat="1" ht="19.5" customHeight="1">
      <c r="A5" s="58" t="s">
        <v>136</v>
      </c>
      <c r="B5" s="54">
        <f ca="1">SUM(H8:H107)</f>
        <v>49917.755136737818</v>
      </c>
      <c r="C5" s="229"/>
      <c r="D5" s="231"/>
      <c r="E5" s="141" t="str">
        <f>Bordero!I5</f>
        <v>Sim</v>
      </c>
      <c r="F5" s="143">
        <f ca="1">L108</f>
        <v>12</v>
      </c>
      <c r="H5" s="139"/>
      <c r="I5" s="223"/>
      <c r="J5" s="224"/>
      <c r="K5" s="225"/>
    </row>
    <row r="6" spans="1:13" s="49" customFormat="1" ht="31.5" customHeight="1" thickBot="1">
      <c r="A6" s="59" t="s">
        <v>132</v>
      </c>
      <c r="B6" s="80">
        <f ca="1">B4-B5</f>
        <v>82.244863262181752</v>
      </c>
      <c r="C6" s="60" t="str">
        <f>Bordero!G1</f>
        <v>Data:</v>
      </c>
      <c r="D6" s="81">
        <f ca="1">Bordero!H1</f>
        <v>46199</v>
      </c>
      <c r="E6" s="170" t="s">
        <v>268</v>
      </c>
      <c r="F6" s="145">
        <f>Bordero!K6+Bordero!K5</f>
        <v>0</v>
      </c>
      <c r="G6" s="147">
        <f>COUNTA(Bordero!B9:B108)</f>
        <v>1</v>
      </c>
      <c r="H6" s="147">
        <f>F6/G6</f>
        <v>0</v>
      </c>
      <c r="I6" s="226"/>
      <c r="J6" s="226"/>
      <c r="K6" s="227"/>
    </row>
    <row r="7" spans="1:13">
      <c r="A7" s="63" t="s">
        <v>0</v>
      </c>
      <c r="B7" s="64" t="s">
        <v>123</v>
      </c>
      <c r="C7" s="65" t="s">
        <v>84</v>
      </c>
      <c r="D7" s="64" t="s">
        <v>124</v>
      </c>
      <c r="E7" s="64" t="s">
        <v>125</v>
      </c>
      <c r="F7" s="90" t="s">
        <v>126</v>
      </c>
      <c r="G7" s="90" t="s">
        <v>2</v>
      </c>
      <c r="H7" s="146" t="s">
        <v>131</v>
      </c>
      <c r="I7" s="90" t="s">
        <v>146</v>
      </c>
      <c r="J7" s="90" t="s">
        <v>147</v>
      </c>
      <c r="K7" s="91" t="s">
        <v>148</v>
      </c>
    </row>
    <row r="8" spans="1:13" s="49" customFormat="1" ht="31.5">
      <c r="A8" s="51" t="str">
        <f>Bordero!A9</f>
        <v>01</v>
      </c>
      <c r="B8" s="62" t="str">
        <f>IF(Bordero!B9="","",Bordero!B9)</f>
        <v>42422048000219</v>
      </c>
      <c r="C8" s="61" t="str">
        <f>IF(Bordero!B9="","",Bordero!C9)</f>
        <v>MINERACAO AURIZONA EQUINOX GOLD</v>
      </c>
      <c r="D8" s="55" t="str">
        <f>IF(Bordero!B9="","",Bordero!D9)</f>
        <v>145-001</v>
      </c>
      <c r="E8" s="52" t="str">
        <f>IF(Bordero!B9="","",Bordero!E9)</f>
        <v>09/06/2026</v>
      </c>
      <c r="F8" s="52" t="str">
        <f>IF(Bordero!B9="","",Bordero!F9)</f>
        <v>08/07/2026</v>
      </c>
      <c r="G8" s="53">
        <f>IF(Bordero!B9="","",Bordero!I9)</f>
        <v>50000</v>
      </c>
      <c r="H8" s="89">
        <f ca="1">IF(Bordero!B9="","",'Import A'!E2)</f>
        <v>49917.755136737818</v>
      </c>
      <c r="I8" s="31" t="str">
        <f>IF(Bordero!G9="","",Bordero!G9)</f>
        <v/>
      </c>
      <c r="J8" s="99" t="str">
        <f>IF(Bordero!H9="","",Bordero!H9)</f>
        <v/>
      </c>
      <c r="K8" s="100">
        <f>IF(Bordero!K9="","",Bordero!K9)</f>
        <v>65285000</v>
      </c>
      <c r="L8" s="49">
        <f ca="1">IF(B8&lt;&gt;"",(F8-$L$1),"")</f>
        <v>12</v>
      </c>
    </row>
    <row r="9" spans="1:13" s="49" customFormat="1" ht="15.75">
      <c r="A9" s="51" t="str">
        <f>Bordero!A10</f>
        <v>02</v>
      </c>
      <c r="B9" s="62" t="str">
        <f>IF(Bordero!B10="","",Bordero!B10)</f>
        <v/>
      </c>
      <c r="C9" s="61" t="str">
        <f>IF(Bordero!B10="","",Bordero!C10)</f>
        <v/>
      </c>
      <c r="D9" s="55" t="str">
        <f>IF(Bordero!B10="","",Bordero!D10)</f>
        <v/>
      </c>
      <c r="E9" s="52" t="str">
        <f>IF(Bordero!B10="","",Bordero!E10)</f>
        <v/>
      </c>
      <c r="F9" s="52" t="str">
        <f>IF(Bordero!B10="","",Bordero!F10)</f>
        <v/>
      </c>
      <c r="G9" s="53" t="str">
        <f>IF(Bordero!B10="","",Bordero!I10)</f>
        <v/>
      </c>
      <c r="H9" s="89" t="str">
        <f>IF(Bordero!B10="","",'Import A'!E3)</f>
        <v/>
      </c>
      <c r="I9" s="31" t="str">
        <f>IF(Bordero!G10="","",Bordero!G10)</f>
        <v/>
      </c>
      <c r="J9" s="99" t="str">
        <f>IF(Bordero!H10="","",Bordero!H10)</f>
        <v/>
      </c>
      <c r="K9" s="100" t="str">
        <f>IF(Bordero!K10="","",Bordero!K10)</f>
        <v/>
      </c>
      <c r="L9" s="49" t="str">
        <f t="shared" ref="L9:L41" si="0">IF(B9&lt;&gt;"",(F9-$L$1),"")</f>
        <v/>
      </c>
    </row>
    <row r="10" spans="1:13" s="49" customFormat="1" ht="15.75">
      <c r="A10" s="51" t="str">
        <f>Bordero!A11</f>
        <v>03</v>
      </c>
      <c r="B10" s="62" t="str">
        <f>IF(Bordero!B11="","",Bordero!B11)</f>
        <v/>
      </c>
      <c r="C10" s="61" t="str">
        <f>IF(Bordero!B11="","",Bordero!C11)</f>
        <v/>
      </c>
      <c r="D10" s="55" t="str">
        <f>IF(Bordero!B11="","",Bordero!D11)</f>
        <v/>
      </c>
      <c r="E10" s="52" t="str">
        <f>IF(Bordero!B11="","",Bordero!E11)</f>
        <v/>
      </c>
      <c r="F10" s="52" t="str">
        <f>IF(Bordero!B11="","",Bordero!F11)</f>
        <v/>
      </c>
      <c r="G10" s="53" t="str">
        <f>IF(Bordero!B11="","",Bordero!I11)</f>
        <v/>
      </c>
      <c r="H10" s="89" t="str">
        <f>IF(Bordero!B11="","",'Import A'!E4)</f>
        <v/>
      </c>
      <c r="I10" s="31" t="str">
        <f>IF(Bordero!G11="","",Bordero!G11)</f>
        <v/>
      </c>
      <c r="J10" s="99" t="str">
        <f>IF(Bordero!H11="","",Bordero!H11)</f>
        <v/>
      </c>
      <c r="K10" s="100" t="str">
        <f>IF(Bordero!K11="","",Bordero!K11)</f>
        <v/>
      </c>
      <c r="L10" s="49" t="str">
        <f t="shared" si="0"/>
        <v/>
      </c>
    </row>
    <row r="11" spans="1:13" s="49" customFormat="1" ht="15.75">
      <c r="A11" s="51" t="str">
        <f>Bordero!A12</f>
        <v>04</v>
      </c>
      <c r="B11" s="62" t="str">
        <f>IF(Bordero!B12="","",Bordero!B12)</f>
        <v/>
      </c>
      <c r="C11" s="61" t="str">
        <f>IF(Bordero!B12="","",Bordero!C12)</f>
        <v/>
      </c>
      <c r="D11" s="55" t="str">
        <f>IF(Bordero!B12="","",Bordero!D12)</f>
        <v/>
      </c>
      <c r="E11" s="52" t="str">
        <f>IF(Bordero!B12="","",Bordero!E12)</f>
        <v/>
      </c>
      <c r="F11" s="52" t="str">
        <f>IF(Bordero!B12="","",Bordero!F12)</f>
        <v/>
      </c>
      <c r="G11" s="53" t="str">
        <f>IF(Bordero!B12="","",Bordero!I12)</f>
        <v/>
      </c>
      <c r="H11" s="89" t="str">
        <f>IF(Bordero!B12="","",'Import A'!E5)</f>
        <v/>
      </c>
      <c r="I11" s="31" t="str">
        <f>IF(Bordero!G12="","",Bordero!G12)</f>
        <v/>
      </c>
      <c r="J11" s="99" t="str">
        <f>IF(Bordero!H12="","",Bordero!H12)</f>
        <v/>
      </c>
      <c r="K11" s="100" t="str">
        <f>IF(Bordero!K12="","",Bordero!K12)</f>
        <v/>
      </c>
      <c r="L11" s="49" t="str">
        <f t="shared" si="0"/>
        <v/>
      </c>
    </row>
    <row r="12" spans="1:13" s="49" customFormat="1" ht="15.75">
      <c r="A12" s="51" t="str">
        <f>Bordero!A13</f>
        <v>05</v>
      </c>
      <c r="B12" s="62" t="str">
        <f>IF(Bordero!B13="","",Bordero!B13)</f>
        <v/>
      </c>
      <c r="C12" s="61" t="str">
        <f>IF(Bordero!B13="","",Bordero!C13)</f>
        <v/>
      </c>
      <c r="D12" s="55" t="str">
        <f>IF(Bordero!B13="","",Bordero!D13)</f>
        <v/>
      </c>
      <c r="E12" s="52" t="str">
        <f>IF(Bordero!B13="","",Bordero!E13)</f>
        <v/>
      </c>
      <c r="F12" s="52" t="str">
        <f>IF(Bordero!B13="","",Bordero!F13)</f>
        <v/>
      </c>
      <c r="G12" s="53" t="str">
        <f>IF(Bordero!B13="","",Bordero!I13)</f>
        <v/>
      </c>
      <c r="H12" s="89" t="str">
        <f>IF(Bordero!B13="","",'Import A'!E6)</f>
        <v/>
      </c>
      <c r="I12" s="31" t="str">
        <f>IF(Bordero!G13="","",Bordero!G13)</f>
        <v/>
      </c>
      <c r="J12" s="99" t="str">
        <f>IF(Bordero!H13="","",Bordero!H13)</f>
        <v/>
      </c>
      <c r="K12" s="100" t="str">
        <f>IF(Bordero!K13="","",Bordero!K13)</f>
        <v/>
      </c>
      <c r="L12" s="49" t="str">
        <f t="shared" si="0"/>
        <v/>
      </c>
    </row>
    <row r="13" spans="1:13" s="49" customFormat="1" ht="15.75">
      <c r="A13" s="51" t="str">
        <f>Bordero!A14</f>
        <v>06</v>
      </c>
      <c r="B13" s="62" t="str">
        <f>IF(Bordero!B14="","",Bordero!B14)</f>
        <v/>
      </c>
      <c r="C13" s="61" t="str">
        <f>IF(Bordero!B14="","",Bordero!C14)</f>
        <v/>
      </c>
      <c r="D13" s="55" t="str">
        <f>IF(Bordero!B14="","",Bordero!D14)</f>
        <v/>
      </c>
      <c r="E13" s="52" t="str">
        <f>IF(Bordero!B14="","",Bordero!E14)</f>
        <v/>
      </c>
      <c r="F13" s="52" t="str">
        <f>IF(Bordero!B14="","",Bordero!F14)</f>
        <v/>
      </c>
      <c r="G13" s="53" t="str">
        <f>IF(Bordero!B14="","",Bordero!I14)</f>
        <v/>
      </c>
      <c r="H13" s="89" t="str">
        <f>IF(Bordero!B14="","",'Import A'!E7)</f>
        <v/>
      </c>
      <c r="I13" s="31" t="str">
        <f>IF(Bordero!G14="","",Bordero!G14)</f>
        <v/>
      </c>
      <c r="J13" s="99" t="str">
        <f>IF(Bordero!H14="","",Bordero!H14)</f>
        <v/>
      </c>
      <c r="K13" s="100" t="str">
        <f>IF(Bordero!K14="","",Bordero!K14)</f>
        <v/>
      </c>
      <c r="L13" s="49" t="str">
        <f t="shared" si="0"/>
        <v/>
      </c>
    </row>
    <row r="14" spans="1:13" s="49" customFormat="1" ht="15.75">
      <c r="A14" s="51" t="str">
        <f>Bordero!A15</f>
        <v>07</v>
      </c>
      <c r="B14" s="62" t="str">
        <f>IF(Bordero!B15="","",Bordero!B15)</f>
        <v/>
      </c>
      <c r="C14" s="61" t="str">
        <f>IF(Bordero!B15="","",Bordero!C15)</f>
        <v/>
      </c>
      <c r="D14" s="55" t="str">
        <f>IF(Bordero!B15="","",Bordero!D15)</f>
        <v/>
      </c>
      <c r="E14" s="52" t="str">
        <f>IF(Bordero!B15="","",Bordero!E15)</f>
        <v/>
      </c>
      <c r="F14" s="52" t="str">
        <f>IF(Bordero!B15="","",Bordero!F15)</f>
        <v/>
      </c>
      <c r="G14" s="53" t="str">
        <f>IF(Bordero!B15="","",Bordero!I15)</f>
        <v/>
      </c>
      <c r="H14" s="89" t="str">
        <f>IF(Bordero!B15="","",'Import A'!E8)</f>
        <v/>
      </c>
      <c r="I14" s="31" t="str">
        <f>IF(Bordero!G15="","",Bordero!G15)</f>
        <v/>
      </c>
      <c r="J14" s="99" t="str">
        <f>IF(Bordero!H15="","",Bordero!H15)</f>
        <v/>
      </c>
      <c r="K14" s="100" t="str">
        <f>IF(Bordero!K15="","",Bordero!K15)</f>
        <v/>
      </c>
      <c r="L14" s="49" t="str">
        <f t="shared" si="0"/>
        <v/>
      </c>
    </row>
    <row r="15" spans="1:13" s="49" customFormat="1" ht="15.75">
      <c r="A15" s="51" t="str">
        <f>Bordero!A16</f>
        <v>08</v>
      </c>
      <c r="B15" s="62" t="str">
        <f>IF(Bordero!B16="","",Bordero!B16)</f>
        <v/>
      </c>
      <c r="C15" s="61" t="str">
        <f>IF(Bordero!B16="","",Bordero!C16)</f>
        <v/>
      </c>
      <c r="D15" s="55" t="str">
        <f>IF(Bordero!B16="","",Bordero!D16)</f>
        <v/>
      </c>
      <c r="E15" s="52" t="str">
        <f>IF(Bordero!B16="","",Bordero!E16)</f>
        <v/>
      </c>
      <c r="F15" s="52" t="str">
        <f>IF(Bordero!B16="","",Bordero!F16)</f>
        <v/>
      </c>
      <c r="G15" s="53" t="str">
        <f>IF(Bordero!B16="","",Bordero!I16)</f>
        <v/>
      </c>
      <c r="H15" s="89" t="str">
        <f>IF(Bordero!B16="","",'Import A'!E9)</f>
        <v/>
      </c>
      <c r="I15" s="31" t="str">
        <f>IF(Bordero!G16="","",Bordero!G16)</f>
        <v/>
      </c>
      <c r="J15" s="99" t="str">
        <f>IF(Bordero!H16="","",Bordero!H16)</f>
        <v/>
      </c>
      <c r="K15" s="100" t="str">
        <f>IF(Bordero!K16="","",Bordero!K16)</f>
        <v/>
      </c>
      <c r="L15" s="49" t="str">
        <f t="shared" si="0"/>
        <v/>
      </c>
    </row>
    <row r="16" spans="1:13" s="49" customFormat="1" ht="15.75">
      <c r="A16" s="51" t="str">
        <f>Bordero!A17</f>
        <v>09</v>
      </c>
      <c r="B16" s="62" t="str">
        <f>IF(Bordero!B17="","",Bordero!B17)</f>
        <v/>
      </c>
      <c r="C16" s="61" t="str">
        <f>IF(Bordero!B17="","",Bordero!C17)</f>
        <v/>
      </c>
      <c r="D16" s="55" t="str">
        <f>IF(Bordero!B17="","",Bordero!D17)</f>
        <v/>
      </c>
      <c r="E16" s="52" t="str">
        <f>IF(Bordero!B17="","",Bordero!E17)</f>
        <v/>
      </c>
      <c r="F16" s="52" t="str">
        <f>IF(Bordero!B17="","",Bordero!F17)</f>
        <v/>
      </c>
      <c r="G16" s="53" t="str">
        <f>IF(Bordero!B17="","",Bordero!I17)</f>
        <v/>
      </c>
      <c r="H16" s="89" t="str">
        <f>IF(Bordero!B17="","",'Import A'!E10)</f>
        <v/>
      </c>
      <c r="I16" s="31" t="str">
        <f>IF(Bordero!G17="","",Bordero!G17)</f>
        <v/>
      </c>
      <c r="J16" s="99" t="str">
        <f>IF(Bordero!H17="","",Bordero!H17)</f>
        <v/>
      </c>
      <c r="K16" s="100" t="str">
        <f>IF(Bordero!K17="","",Bordero!K17)</f>
        <v/>
      </c>
      <c r="L16" s="49" t="str">
        <f t="shared" si="0"/>
        <v/>
      </c>
    </row>
    <row r="17" spans="1:12" s="49" customFormat="1" ht="15.75">
      <c r="A17" s="51" t="str">
        <f>Bordero!A18</f>
        <v>10</v>
      </c>
      <c r="B17" s="62" t="str">
        <f>IF(Bordero!B18="","",Bordero!B18)</f>
        <v/>
      </c>
      <c r="C17" s="61" t="str">
        <f>IF(Bordero!B18="","",Bordero!C18)</f>
        <v/>
      </c>
      <c r="D17" s="55" t="str">
        <f>IF(Bordero!B18="","",Bordero!D18)</f>
        <v/>
      </c>
      <c r="E17" s="52" t="str">
        <f>IF(Bordero!B18="","",Bordero!E18)</f>
        <v/>
      </c>
      <c r="F17" s="52" t="str">
        <f>IF(Bordero!B18="","",Bordero!F18)</f>
        <v/>
      </c>
      <c r="G17" s="53" t="str">
        <f>IF(Bordero!B18="","",Bordero!I18)</f>
        <v/>
      </c>
      <c r="H17" s="89" t="str">
        <f>IF(Bordero!B18="","",'Import A'!E11)</f>
        <v/>
      </c>
      <c r="I17" s="31" t="str">
        <f>IF(Bordero!G18="","",Bordero!G18)</f>
        <v/>
      </c>
      <c r="J17" s="99" t="str">
        <f>IF(Bordero!H18="","",Bordero!H18)</f>
        <v/>
      </c>
      <c r="K17" s="100" t="str">
        <f>IF(Bordero!K18="","",Bordero!K18)</f>
        <v/>
      </c>
      <c r="L17" s="49" t="str">
        <f t="shared" si="0"/>
        <v/>
      </c>
    </row>
    <row r="18" spans="1:12" s="49" customFormat="1" ht="15.75">
      <c r="A18" s="51" t="str">
        <f>Bordero!A19</f>
        <v>11</v>
      </c>
      <c r="B18" s="62" t="str">
        <f>IF(Bordero!B19="","",Bordero!B19)</f>
        <v/>
      </c>
      <c r="C18" s="61" t="str">
        <f>IF(Bordero!B19="","",Bordero!C19)</f>
        <v/>
      </c>
      <c r="D18" s="55" t="str">
        <f>IF(Bordero!B19="","",Bordero!D19)</f>
        <v/>
      </c>
      <c r="E18" s="52" t="str">
        <f>IF(Bordero!B19="","",Bordero!E19)</f>
        <v/>
      </c>
      <c r="F18" s="52" t="str">
        <f>IF(Bordero!B19="","",Bordero!F19)</f>
        <v/>
      </c>
      <c r="G18" s="53" t="str">
        <f>IF(Bordero!B19="","",Bordero!I19)</f>
        <v/>
      </c>
      <c r="H18" s="89" t="str">
        <f>IF(Bordero!B19="","",'Import A'!E12)</f>
        <v/>
      </c>
      <c r="I18" s="31" t="str">
        <f>IF(Bordero!G19="","",Bordero!G19)</f>
        <v/>
      </c>
      <c r="J18" s="99" t="str">
        <f>IF(Bordero!H19="","",Bordero!H19)</f>
        <v/>
      </c>
      <c r="K18" s="100" t="str">
        <f>IF(Bordero!K19="","",Bordero!K19)</f>
        <v/>
      </c>
      <c r="L18" s="49" t="str">
        <f t="shared" si="0"/>
        <v/>
      </c>
    </row>
    <row r="19" spans="1:12" s="49" customFormat="1" ht="15.75">
      <c r="A19" s="51" t="str">
        <f>Bordero!A20</f>
        <v>12</v>
      </c>
      <c r="B19" s="62" t="str">
        <f>IF(Bordero!B20="","",Bordero!B20)</f>
        <v/>
      </c>
      <c r="C19" s="61" t="str">
        <f>IF(Bordero!B20="","",Bordero!C20)</f>
        <v/>
      </c>
      <c r="D19" s="55" t="str">
        <f>IF(Bordero!B20="","",Bordero!D20)</f>
        <v/>
      </c>
      <c r="E19" s="52" t="str">
        <f>IF(Bordero!B20="","",Bordero!E20)</f>
        <v/>
      </c>
      <c r="F19" s="52" t="str">
        <f>IF(Bordero!B20="","",Bordero!F20)</f>
        <v/>
      </c>
      <c r="G19" s="53" t="str">
        <f>IF(Bordero!B20="","",Bordero!I20)</f>
        <v/>
      </c>
      <c r="H19" s="89" t="str">
        <f>IF(Bordero!B20="","",'Import A'!E13)</f>
        <v/>
      </c>
      <c r="I19" s="31" t="str">
        <f>IF(Bordero!G20="","",Bordero!G20)</f>
        <v/>
      </c>
      <c r="J19" s="99" t="str">
        <f>IF(Bordero!H20="","",Bordero!H20)</f>
        <v/>
      </c>
      <c r="K19" s="100" t="str">
        <f>IF(Bordero!K20="","",Bordero!K20)</f>
        <v/>
      </c>
      <c r="L19" s="49" t="str">
        <f t="shared" si="0"/>
        <v/>
      </c>
    </row>
    <row r="20" spans="1:12" s="49" customFormat="1" ht="15.75">
      <c r="A20" s="51" t="str">
        <f>Bordero!A21</f>
        <v>13</v>
      </c>
      <c r="B20" s="62" t="str">
        <f>IF(Bordero!B21="","",Bordero!B21)</f>
        <v/>
      </c>
      <c r="C20" s="61" t="str">
        <f>IF(Bordero!B21="","",Bordero!C21)</f>
        <v/>
      </c>
      <c r="D20" s="55" t="str">
        <f>IF(Bordero!B21="","",Bordero!D21)</f>
        <v/>
      </c>
      <c r="E20" s="52" t="str">
        <f>IF(Bordero!B21="","",Bordero!E21)</f>
        <v/>
      </c>
      <c r="F20" s="52" t="str">
        <f>IF(Bordero!B21="","",Bordero!F21)</f>
        <v/>
      </c>
      <c r="G20" s="53" t="str">
        <f>IF(Bordero!B21="","",Bordero!I21)</f>
        <v/>
      </c>
      <c r="H20" s="89" t="str">
        <f>IF(Bordero!B21="","",'Import A'!E14)</f>
        <v/>
      </c>
      <c r="I20" s="31" t="str">
        <f>IF(Bordero!G21="","",Bordero!G21)</f>
        <v/>
      </c>
      <c r="J20" s="99" t="str">
        <f>IF(Bordero!H21="","",Bordero!H21)</f>
        <v/>
      </c>
      <c r="K20" s="100" t="str">
        <f>IF(Bordero!K21="","",Bordero!K21)</f>
        <v/>
      </c>
      <c r="L20" s="49" t="str">
        <f t="shared" si="0"/>
        <v/>
      </c>
    </row>
    <row r="21" spans="1:12" s="49" customFormat="1" ht="15.75">
      <c r="A21" s="51" t="str">
        <f>Bordero!A22</f>
        <v>14</v>
      </c>
      <c r="B21" s="62" t="str">
        <f>IF(Bordero!B22="","",Bordero!B22)</f>
        <v/>
      </c>
      <c r="C21" s="61" t="str">
        <f>IF(Bordero!B22="","",Bordero!C22)</f>
        <v/>
      </c>
      <c r="D21" s="55" t="str">
        <f>IF(Bordero!B22="","",Bordero!D22)</f>
        <v/>
      </c>
      <c r="E21" s="52" t="str">
        <f>IF(Bordero!B22="","",Bordero!E22)</f>
        <v/>
      </c>
      <c r="F21" s="52" t="str">
        <f>IF(Bordero!B22="","",Bordero!F22)</f>
        <v/>
      </c>
      <c r="G21" s="53" t="str">
        <f>IF(Bordero!B22="","",Bordero!I22)</f>
        <v/>
      </c>
      <c r="H21" s="89" t="str">
        <f>IF(Bordero!B22="","",'Import A'!E15)</f>
        <v/>
      </c>
      <c r="I21" s="31" t="str">
        <f>IF(Bordero!G22="","",Bordero!G22)</f>
        <v/>
      </c>
      <c r="J21" s="99" t="str">
        <f>IF(Bordero!H22="","",Bordero!H22)</f>
        <v/>
      </c>
      <c r="K21" s="100" t="str">
        <f>IF(Bordero!K22="","",Bordero!K22)</f>
        <v/>
      </c>
      <c r="L21" s="49" t="str">
        <f t="shared" si="0"/>
        <v/>
      </c>
    </row>
    <row r="22" spans="1:12" s="49" customFormat="1" ht="15.75">
      <c r="A22" s="51" t="str">
        <f>Bordero!A23</f>
        <v>15</v>
      </c>
      <c r="B22" s="62" t="str">
        <f>IF(Bordero!B23="","",Bordero!B23)</f>
        <v/>
      </c>
      <c r="C22" s="61" t="str">
        <f>IF(Bordero!B23="","",Bordero!C23)</f>
        <v/>
      </c>
      <c r="D22" s="55" t="str">
        <f>IF(Bordero!B23="","",Bordero!D23)</f>
        <v/>
      </c>
      <c r="E22" s="52" t="str">
        <f>IF(Bordero!B23="","",Bordero!E23)</f>
        <v/>
      </c>
      <c r="F22" s="52" t="str">
        <f>IF(Bordero!B23="","",Bordero!F23)</f>
        <v/>
      </c>
      <c r="G22" s="53" t="str">
        <f>IF(Bordero!B23="","",Bordero!I23)</f>
        <v/>
      </c>
      <c r="H22" s="89" t="str">
        <f>IF(Bordero!B23="","",'Import A'!E16)</f>
        <v/>
      </c>
      <c r="I22" s="31" t="str">
        <f>IF(Bordero!G23="","",Bordero!G23)</f>
        <v/>
      </c>
      <c r="J22" s="99" t="str">
        <f>IF(Bordero!H23="","",Bordero!H23)</f>
        <v/>
      </c>
      <c r="K22" s="100" t="str">
        <f>IF(Bordero!K23="","",Bordero!K23)</f>
        <v/>
      </c>
      <c r="L22" s="49" t="str">
        <f t="shared" si="0"/>
        <v/>
      </c>
    </row>
    <row r="23" spans="1:12" s="49" customFormat="1" ht="15.75">
      <c r="A23" s="51" t="str">
        <f>Bordero!A24</f>
        <v>16</v>
      </c>
      <c r="B23" s="62" t="str">
        <f>IF(Bordero!B24="","",Bordero!B24)</f>
        <v/>
      </c>
      <c r="C23" s="61" t="str">
        <f>IF(Bordero!B24="","",Bordero!C24)</f>
        <v/>
      </c>
      <c r="D23" s="55" t="str">
        <f>IF(Bordero!B24="","",Bordero!D24)</f>
        <v/>
      </c>
      <c r="E23" s="52" t="str">
        <f>IF(Bordero!B24="","",Bordero!E24)</f>
        <v/>
      </c>
      <c r="F23" s="52" t="str">
        <f>IF(Bordero!B24="","",Bordero!F24)</f>
        <v/>
      </c>
      <c r="G23" s="53" t="str">
        <f>IF(Bordero!B24="","",Bordero!I24)</f>
        <v/>
      </c>
      <c r="H23" s="89" t="str">
        <f>IF(Bordero!B24="","",'Import A'!E17)</f>
        <v/>
      </c>
      <c r="I23" s="31" t="str">
        <f>IF(Bordero!G24="","",Bordero!G24)</f>
        <v/>
      </c>
      <c r="J23" s="99" t="str">
        <f>IF(Bordero!H24="","",Bordero!H24)</f>
        <v/>
      </c>
      <c r="K23" s="100" t="str">
        <f>IF(Bordero!K24="","",Bordero!K24)</f>
        <v/>
      </c>
      <c r="L23" s="49" t="str">
        <f t="shared" si="0"/>
        <v/>
      </c>
    </row>
    <row r="24" spans="1:12" s="49" customFormat="1" ht="15.75">
      <c r="A24" s="51" t="str">
        <f>Bordero!A25</f>
        <v>17</v>
      </c>
      <c r="B24" s="62" t="str">
        <f>IF(Bordero!B25="","",Bordero!B25)</f>
        <v/>
      </c>
      <c r="C24" s="61" t="str">
        <f>IF(Bordero!B25="","",Bordero!C25)</f>
        <v/>
      </c>
      <c r="D24" s="55" t="str">
        <f>IF(Bordero!B25="","",Bordero!D25)</f>
        <v/>
      </c>
      <c r="E24" s="52" t="str">
        <f>IF(Bordero!B25="","",Bordero!E25)</f>
        <v/>
      </c>
      <c r="F24" s="52" t="str">
        <f>IF(Bordero!B25="","",Bordero!F25)</f>
        <v/>
      </c>
      <c r="G24" s="53" t="str">
        <f>IF(Bordero!B25="","",Bordero!I25)</f>
        <v/>
      </c>
      <c r="H24" s="89" t="str">
        <f>IF(Bordero!B25="","",'Import A'!E18)</f>
        <v/>
      </c>
      <c r="I24" s="31" t="str">
        <f>IF(Bordero!G25="","",Bordero!G25)</f>
        <v/>
      </c>
      <c r="J24" s="99" t="str">
        <f>IF(Bordero!H25="","",Bordero!H25)</f>
        <v/>
      </c>
      <c r="K24" s="100" t="str">
        <f>IF(Bordero!K25="","",Bordero!K25)</f>
        <v/>
      </c>
      <c r="L24" s="49" t="str">
        <f t="shared" si="0"/>
        <v/>
      </c>
    </row>
    <row r="25" spans="1:12" s="49" customFormat="1" ht="15.75">
      <c r="A25" s="51" t="str">
        <f>Bordero!A26</f>
        <v>18</v>
      </c>
      <c r="B25" s="62" t="str">
        <f>IF(Bordero!B26="","",Bordero!B26)</f>
        <v/>
      </c>
      <c r="C25" s="61" t="str">
        <f>IF(Bordero!B26="","",Bordero!C26)</f>
        <v/>
      </c>
      <c r="D25" s="55" t="str">
        <f>IF(Bordero!B26="","",Bordero!D26)</f>
        <v/>
      </c>
      <c r="E25" s="52" t="str">
        <f>IF(Bordero!B26="","",Bordero!E26)</f>
        <v/>
      </c>
      <c r="F25" s="52" t="str">
        <f>IF(Bordero!B26="","",Bordero!F26)</f>
        <v/>
      </c>
      <c r="G25" s="53" t="str">
        <f>IF(Bordero!B26="","",Bordero!I26)</f>
        <v/>
      </c>
      <c r="H25" s="89" t="str">
        <f>IF(Bordero!B26="","",'Import A'!E19)</f>
        <v/>
      </c>
      <c r="I25" s="31" t="str">
        <f>IF(Bordero!G26="","",Bordero!G26)</f>
        <v/>
      </c>
      <c r="J25" s="99" t="str">
        <f>IF(Bordero!H26="","",Bordero!H26)</f>
        <v/>
      </c>
      <c r="K25" s="100" t="str">
        <f>IF(Bordero!K26="","",Bordero!K26)</f>
        <v/>
      </c>
      <c r="L25" s="49" t="str">
        <f t="shared" si="0"/>
        <v/>
      </c>
    </row>
    <row r="26" spans="1:12" s="49" customFormat="1" ht="15.75">
      <c r="A26" s="51" t="str">
        <f>Bordero!A27</f>
        <v>19</v>
      </c>
      <c r="B26" s="62" t="str">
        <f>IF(Bordero!B27="","",Bordero!B27)</f>
        <v/>
      </c>
      <c r="C26" s="61" t="str">
        <f>IF(Bordero!B27="","",Bordero!C27)</f>
        <v/>
      </c>
      <c r="D26" s="55" t="str">
        <f>IF(Bordero!B27="","",Bordero!D27)</f>
        <v/>
      </c>
      <c r="E26" s="52" t="str">
        <f>IF(Bordero!B27="","",Bordero!E27)</f>
        <v/>
      </c>
      <c r="F26" s="52" t="str">
        <f>IF(Bordero!B27="","",Bordero!F27)</f>
        <v/>
      </c>
      <c r="G26" s="53" t="str">
        <f>IF(Bordero!B27="","",Bordero!I27)</f>
        <v/>
      </c>
      <c r="H26" s="89" t="str">
        <f>IF(Bordero!B27="","",'Import A'!E20)</f>
        <v/>
      </c>
      <c r="I26" s="31" t="str">
        <f>IF(Bordero!G27="","",Bordero!G27)</f>
        <v/>
      </c>
      <c r="J26" s="99" t="str">
        <f>IF(Bordero!H27="","",Bordero!H27)</f>
        <v/>
      </c>
      <c r="K26" s="100" t="str">
        <f>IF(Bordero!K27="","",Bordero!K27)</f>
        <v/>
      </c>
      <c r="L26" s="49" t="str">
        <f t="shared" si="0"/>
        <v/>
      </c>
    </row>
    <row r="27" spans="1:12" s="49" customFormat="1" ht="15.75">
      <c r="A27" s="51" t="str">
        <f>Bordero!A28</f>
        <v>20</v>
      </c>
      <c r="B27" s="62" t="str">
        <f>IF(Bordero!B28="","",Bordero!B28)</f>
        <v/>
      </c>
      <c r="C27" s="61" t="str">
        <f>IF(Bordero!B28="","",Bordero!C28)</f>
        <v/>
      </c>
      <c r="D27" s="55" t="str">
        <f>IF(Bordero!B28="","",Bordero!D28)</f>
        <v/>
      </c>
      <c r="E27" s="52" t="str">
        <f>IF(Bordero!B28="","",Bordero!E28)</f>
        <v/>
      </c>
      <c r="F27" s="52" t="str">
        <f>IF(Bordero!B28="","",Bordero!F28)</f>
        <v/>
      </c>
      <c r="G27" s="53" t="str">
        <f>IF(Bordero!B28="","",Bordero!I28)</f>
        <v/>
      </c>
      <c r="H27" s="89" t="str">
        <f>IF(Bordero!B28="","",'Import A'!E21)</f>
        <v/>
      </c>
      <c r="I27" s="31" t="str">
        <f>IF(Bordero!G28="","",Bordero!G28)</f>
        <v/>
      </c>
      <c r="J27" s="99" t="str">
        <f>IF(Bordero!H28="","",Bordero!H28)</f>
        <v/>
      </c>
      <c r="K27" s="100" t="str">
        <f>IF(Bordero!K28="","",Bordero!K28)</f>
        <v/>
      </c>
      <c r="L27" s="49" t="str">
        <f t="shared" si="0"/>
        <v/>
      </c>
    </row>
    <row r="28" spans="1:12" s="49" customFormat="1" ht="15.75">
      <c r="A28" s="51" t="str">
        <f>Bordero!A29</f>
        <v>21</v>
      </c>
      <c r="B28" s="62" t="str">
        <f>IF(Bordero!B29="","",Bordero!B29)</f>
        <v/>
      </c>
      <c r="C28" s="61" t="str">
        <f>IF(Bordero!B29="","",Bordero!C29)</f>
        <v/>
      </c>
      <c r="D28" s="55" t="str">
        <f>IF(Bordero!B29="","",Bordero!D29)</f>
        <v/>
      </c>
      <c r="E28" s="52" t="str">
        <f>IF(Bordero!B29="","",Bordero!E29)</f>
        <v/>
      </c>
      <c r="F28" s="52" t="str">
        <f>IF(Bordero!B29="","",Bordero!F29)</f>
        <v/>
      </c>
      <c r="G28" s="53" t="str">
        <f>IF(Bordero!B29="","",Bordero!I29)</f>
        <v/>
      </c>
      <c r="H28" s="89" t="str">
        <f>IF(Bordero!B29="","",'Import A'!E22)</f>
        <v/>
      </c>
      <c r="I28" s="31" t="str">
        <f>IF(Bordero!G29="","",Bordero!G29)</f>
        <v/>
      </c>
      <c r="J28" s="99" t="str">
        <f>IF(Bordero!H29="","",Bordero!H29)</f>
        <v/>
      </c>
      <c r="K28" s="100" t="str">
        <f>IF(Bordero!K29="","",Bordero!K29)</f>
        <v/>
      </c>
      <c r="L28" s="49" t="str">
        <f t="shared" si="0"/>
        <v/>
      </c>
    </row>
    <row r="29" spans="1:12" s="49" customFormat="1" ht="15.75">
      <c r="A29" s="51" t="str">
        <f>Bordero!A30</f>
        <v>22</v>
      </c>
      <c r="B29" s="62" t="str">
        <f>IF(Bordero!B30="","",Bordero!B30)</f>
        <v/>
      </c>
      <c r="C29" s="61" t="str">
        <f>IF(Bordero!B30="","",Bordero!C30)</f>
        <v/>
      </c>
      <c r="D29" s="55" t="str">
        <f>IF(Bordero!B30="","",Bordero!D30)</f>
        <v/>
      </c>
      <c r="E29" s="52" t="str">
        <f>IF(Bordero!B30="","",Bordero!E30)</f>
        <v/>
      </c>
      <c r="F29" s="52" t="str">
        <f>IF(Bordero!B30="","",Bordero!F30)</f>
        <v/>
      </c>
      <c r="G29" s="53" t="str">
        <f>IF(Bordero!B30="","",Bordero!I30)</f>
        <v/>
      </c>
      <c r="H29" s="89" t="str">
        <f>IF(Bordero!B30="","",'Import A'!E23)</f>
        <v/>
      </c>
      <c r="I29" s="31" t="str">
        <f>IF(Bordero!G30="","",Bordero!G30)</f>
        <v/>
      </c>
      <c r="J29" s="99" t="str">
        <f>IF(Bordero!H30="","",Bordero!H30)</f>
        <v/>
      </c>
      <c r="K29" s="100" t="str">
        <f>IF(Bordero!K30="","",Bordero!K30)</f>
        <v/>
      </c>
      <c r="L29" s="49" t="str">
        <f t="shared" si="0"/>
        <v/>
      </c>
    </row>
    <row r="30" spans="1:12" s="49" customFormat="1" ht="15.75">
      <c r="A30" s="51" t="str">
        <f>Bordero!A31</f>
        <v>23</v>
      </c>
      <c r="B30" s="62" t="str">
        <f>IF(Bordero!B31="","",Bordero!B31)</f>
        <v/>
      </c>
      <c r="C30" s="61" t="str">
        <f>IF(Bordero!B31="","",Bordero!C31)</f>
        <v/>
      </c>
      <c r="D30" s="55" t="str">
        <f>IF(Bordero!B31="","",Bordero!D31)</f>
        <v/>
      </c>
      <c r="E30" s="52" t="str">
        <f>IF(Bordero!B31="","",Bordero!E31)</f>
        <v/>
      </c>
      <c r="F30" s="52" t="str">
        <f>IF(Bordero!B31="","",Bordero!F31)</f>
        <v/>
      </c>
      <c r="G30" s="53" t="str">
        <f>IF(Bordero!B31="","",Bordero!I31)</f>
        <v/>
      </c>
      <c r="H30" s="89" t="str">
        <f>IF(Bordero!B31="","",'Import A'!E24)</f>
        <v/>
      </c>
      <c r="I30" s="31" t="str">
        <f>IF(Bordero!G31="","",Bordero!G31)</f>
        <v/>
      </c>
      <c r="J30" s="99" t="str">
        <f>IF(Bordero!H31="","",Bordero!H31)</f>
        <v/>
      </c>
      <c r="K30" s="100" t="str">
        <f>IF(Bordero!K31="","",Bordero!K31)</f>
        <v/>
      </c>
      <c r="L30" s="49" t="str">
        <f t="shared" si="0"/>
        <v/>
      </c>
    </row>
    <row r="31" spans="1:12" s="49" customFormat="1" ht="15.75">
      <c r="A31" s="51" t="str">
        <f>Bordero!A32</f>
        <v>24</v>
      </c>
      <c r="B31" s="62" t="str">
        <f>IF(Bordero!B32="","",Bordero!B32)</f>
        <v/>
      </c>
      <c r="C31" s="61" t="str">
        <f>IF(Bordero!B32="","",Bordero!C32)</f>
        <v/>
      </c>
      <c r="D31" s="55" t="str">
        <f>IF(Bordero!B32="","",Bordero!D32)</f>
        <v/>
      </c>
      <c r="E31" s="52" t="str">
        <f>IF(Bordero!B32="","",Bordero!E32)</f>
        <v/>
      </c>
      <c r="F31" s="52" t="str">
        <f>IF(Bordero!B32="","",Bordero!F32)</f>
        <v/>
      </c>
      <c r="G31" s="53" t="str">
        <f>IF(Bordero!B32="","",Bordero!I32)</f>
        <v/>
      </c>
      <c r="H31" s="89" t="str">
        <f>IF(Bordero!B32="","",'Import A'!E25)</f>
        <v/>
      </c>
      <c r="I31" s="31" t="str">
        <f>IF(Bordero!G32="","",Bordero!G32)</f>
        <v/>
      </c>
      <c r="J31" s="99" t="str">
        <f>IF(Bordero!H32="","",Bordero!H32)</f>
        <v/>
      </c>
      <c r="K31" s="100" t="str">
        <f>IF(Bordero!K32="","",Bordero!K32)</f>
        <v/>
      </c>
      <c r="L31" s="49" t="str">
        <f t="shared" si="0"/>
        <v/>
      </c>
    </row>
    <row r="32" spans="1:12" s="49" customFormat="1" ht="15.75">
      <c r="A32" s="51" t="str">
        <f>Bordero!A33</f>
        <v>25</v>
      </c>
      <c r="B32" s="62" t="str">
        <f>IF(Bordero!B33="","",Bordero!B33)</f>
        <v/>
      </c>
      <c r="C32" s="61" t="str">
        <f>IF(Bordero!B33="","",Bordero!C33)</f>
        <v/>
      </c>
      <c r="D32" s="55" t="str">
        <f>IF(Bordero!B33="","",Bordero!D33)</f>
        <v/>
      </c>
      <c r="E32" s="52" t="str">
        <f>IF(Bordero!B33="","",Bordero!E33)</f>
        <v/>
      </c>
      <c r="F32" s="52" t="str">
        <f>IF(Bordero!B33="","",Bordero!F33)</f>
        <v/>
      </c>
      <c r="G32" s="53" t="str">
        <f>IF(Bordero!B33="","",Bordero!I33)</f>
        <v/>
      </c>
      <c r="H32" s="89" t="str">
        <f>IF(Bordero!B33="","",'Import A'!E26)</f>
        <v/>
      </c>
      <c r="I32" s="31" t="str">
        <f>IF(Bordero!G33="","",Bordero!G33)</f>
        <v/>
      </c>
      <c r="J32" s="99" t="str">
        <f>IF(Bordero!H33="","",Bordero!H33)</f>
        <v/>
      </c>
      <c r="K32" s="100" t="str">
        <f>IF(Bordero!K33="","",Bordero!K33)</f>
        <v/>
      </c>
      <c r="L32" s="49" t="str">
        <f t="shared" si="0"/>
        <v/>
      </c>
    </row>
    <row r="33" spans="1:12" s="49" customFormat="1" ht="15.75">
      <c r="A33" s="51" t="str">
        <f>Bordero!A34</f>
        <v>26</v>
      </c>
      <c r="B33" s="62" t="str">
        <f>IF(Bordero!B34="","",Bordero!B34)</f>
        <v/>
      </c>
      <c r="C33" s="61" t="str">
        <f>IF(Bordero!B34="","",Bordero!C34)</f>
        <v/>
      </c>
      <c r="D33" s="55" t="str">
        <f>IF(Bordero!B34="","",Bordero!D34)</f>
        <v/>
      </c>
      <c r="E33" s="52" t="str">
        <f>IF(Bordero!B34="","",Bordero!E34)</f>
        <v/>
      </c>
      <c r="F33" s="52" t="str">
        <f>IF(Bordero!B34="","",Bordero!F34)</f>
        <v/>
      </c>
      <c r="G33" s="53" t="str">
        <f>IF(Bordero!B34="","",Bordero!I34)</f>
        <v/>
      </c>
      <c r="H33" s="89" t="str">
        <f>IF(Bordero!B34="","",'Import A'!E27)</f>
        <v/>
      </c>
      <c r="I33" s="31" t="str">
        <f>IF(Bordero!G34="","",Bordero!G34)</f>
        <v/>
      </c>
      <c r="J33" s="99" t="str">
        <f>IF(Bordero!H34="","",Bordero!H34)</f>
        <v/>
      </c>
      <c r="K33" s="100" t="str">
        <f>IF(Bordero!K34="","",Bordero!K34)</f>
        <v/>
      </c>
      <c r="L33" s="49" t="str">
        <f t="shared" si="0"/>
        <v/>
      </c>
    </row>
    <row r="34" spans="1:12" s="49" customFormat="1" ht="15.75">
      <c r="A34" s="51" t="str">
        <f>Bordero!A35</f>
        <v>27</v>
      </c>
      <c r="B34" s="62" t="str">
        <f>IF(Bordero!B35="","",Bordero!B35)</f>
        <v/>
      </c>
      <c r="C34" s="61" t="str">
        <f>IF(Bordero!B35="","",Bordero!C35)</f>
        <v/>
      </c>
      <c r="D34" s="55" t="str">
        <f>IF(Bordero!B35="","",Bordero!D35)</f>
        <v/>
      </c>
      <c r="E34" s="52" t="str">
        <f>IF(Bordero!B35="","",Bordero!E35)</f>
        <v/>
      </c>
      <c r="F34" s="52" t="str">
        <f>IF(Bordero!B35="","",Bordero!F35)</f>
        <v/>
      </c>
      <c r="G34" s="53" t="str">
        <f>IF(Bordero!B35="","",Bordero!I35)</f>
        <v/>
      </c>
      <c r="H34" s="89" t="str">
        <f>IF(Bordero!B35="","",'Import A'!E28)</f>
        <v/>
      </c>
      <c r="I34" s="31" t="str">
        <f>IF(Bordero!G35="","",Bordero!G35)</f>
        <v/>
      </c>
      <c r="J34" s="99" t="str">
        <f>IF(Bordero!H35="","",Bordero!H35)</f>
        <v/>
      </c>
      <c r="K34" s="100" t="str">
        <f>IF(Bordero!K35="","",Bordero!K35)</f>
        <v/>
      </c>
      <c r="L34" s="49" t="str">
        <f t="shared" si="0"/>
        <v/>
      </c>
    </row>
    <row r="35" spans="1:12" s="49" customFormat="1" ht="15.75">
      <c r="A35" s="51" t="str">
        <f>Bordero!A36</f>
        <v>28</v>
      </c>
      <c r="B35" s="62" t="str">
        <f>IF(Bordero!B36="","",Bordero!B36)</f>
        <v/>
      </c>
      <c r="C35" s="61" t="str">
        <f>IF(Bordero!B36="","",Bordero!C36)</f>
        <v/>
      </c>
      <c r="D35" s="55" t="str">
        <f>IF(Bordero!B36="","",Bordero!D36)</f>
        <v/>
      </c>
      <c r="E35" s="52" t="str">
        <f>IF(Bordero!B36="","",Bordero!E36)</f>
        <v/>
      </c>
      <c r="F35" s="52" t="str">
        <f>IF(Bordero!B36="","",Bordero!F36)</f>
        <v/>
      </c>
      <c r="G35" s="53" t="str">
        <f>IF(Bordero!B36="","",Bordero!I36)</f>
        <v/>
      </c>
      <c r="H35" s="89" t="str">
        <f>IF(Bordero!B36="","",'Import A'!E29)</f>
        <v/>
      </c>
      <c r="I35" s="31" t="str">
        <f>IF(Bordero!G36="","",Bordero!G36)</f>
        <v/>
      </c>
      <c r="J35" s="99" t="str">
        <f>IF(Bordero!H36="","",Bordero!H36)</f>
        <v/>
      </c>
      <c r="K35" s="100" t="str">
        <f>IF(Bordero!K36="","",Bordero!K36)</f>
        <v/>
      </c>
      <c r="L35" s="49" t="str">
        <f t="shared" si="0"/>
        <v/>
      </c>
    </row>
    <row r="36" spans="1:12" s="49" customFormat="1" ht="15.75">
      <c r="A36" s="51" t="str">
        <f>Bordero!A37</f>
        <v>29</v>
      </c>
      <c r="B36" s="62" t="str">
        <f>IF(Bordero!B37="","",Bordero!B37)</f>
        <v/>
      </c>
      <c r="C36" s="61" t="str">
        <f>IF(Bordero!B37="","",Bordero!C37)</f>
        <v/>
      </c>
      <c r="D36" s="55" t="str">
        <f>IF(Bordero!B37="","",Bordero!D37)</f>
        <v/>
      </c>
      <c r="E36" s="52" t="str">
        <f>IF(Bordero!B37="","",Bordero!E37)</f>
        <v/>
      </c>
      <c r="F36" s="52" t="str">
        <f>IF(Bordero!B37="","",Bordero!F37)</f>
        <v/>
      </c>
      <c r="G36" s="53" t="str">
        <f>IF(Bordero!B37="","",Bordero!I37)</f>
        <v/>
      </c>
      <c r="H36" s="89" t="str">
        <f>IF(Bordero!B37="","",'Import A'!E30)</f>
        <v/>
      </c>
      <c r="I36" s="31" t="str">
        <f>IF(Bordero!G37="","",Bordero!G37)</f>
        <v/>
      </c>
      <c r="J36" s="99" t="str">
        <f>IF(Bordero!H37="","",Bordero!H37)</f>
        <v/>
      </c>
      <c r="K36" s="100" t="str">
        <f>IF(Bordero!K37="","",Bordero!K37)</f>
        <v/>
      </c>
      <c r="L36" s="49" t="str">
        <f t="shared" si="0"/>
        <v/>
      </c>
    </row>
    <row r="37" spans="1:12" s="49" customFormat="1" ht="15.75">
      <c r="A37" s="51" t="str">
        <f>Bordero!A38</f>
        <v>30</v>
      </c>
      <c r="B37" s="62" t="str">
        <f>IF(Bordero!B38="","",Bordero!B38)</f>
        <v/>
      </c>
      <c r="C37" s="61" t="str">
        <f>IF(Bordero!B38="","",Bordero!C38)</f>
        <v/>
      </c>
      <c r="D37" s="55" t="str">
        <f>IF(Bordero!B38="","",Bordero!D38)</f>
        <v/>
      </c>
      <c r="E37" s="52" t="str">
        <f>IF(Bordero!B38="","",Bordero!E38)</f>
        <v/>
      </c>
      <c r="F37" s="52" t="str">
        <f>IF(Bordero!B38="","",Bordero!F38)</f>
        <v/>
      </c>
      <c r="G37" s="53" t="str">
        <f>IF(Bordero!B38="","",Bordero!I38)</f>
        <v/>
      </c>
      <c r="H37" s="89" t="str">
        <f>IF(Bordero!B38="","",'Import A'!E31)</f>
        <v/>
      </c>
      <c r="I37" s="31" t="str">
        <f>IF(Bordero!G38="","",Bordero!G38)</f>
        <v/>
      </c>
      <c r="J37" s="99" t="str">
        <f>IF(Bordero!H38="","",Bordero!H38)</f>
        <v/>
      </c>
      <c r="K37" s="100" t="str">
        <f>IF(Bordero!K38="","",Bordero!K38)</f>
        <v/>
      </c>
      <c r="L37" s="49" t="str">
        <f t="shared" si="0"/>
        <v/>
      </c>
    </row>
    <row r="38" spans="1:12" s="49" customFormat="1" ht="15.75">
      <c r="A38" s="51" t="str">
        <f>Bordero!A39</f>
        <v>31</v>
      </c>
      <c r="B38" s="62" t="str">
        <f>IF(Bordero!B39="","",Bordero!B39)</f>
        <v/>
      </c>
      <c r="C38" s="61" t="str">
        <f>IF(Bordero!B39="","",Bordero!C39)</f>
        <v/>
      </c>
      <c r="D38" s="55" t="str">
        <f>IF(Bordero!B39="","",Bordero!D39)</f>
        <v/>
      </c>
      <c r="E38" s="52" t="str">
        <f>IF(Bordero!B39="","",Bordero!E39)</f>
        <v/>
      </c>
      <c r="F38" s="52" t="str">
        <f>IF(Bordero!B39="","",Bordero!F39)</f>
        <v/>
      </c>
      <c r="G38" s="53" t="str">
        <f>IF(Bordero!B39="","",Bordero!I39)</f>
        <v/>
      </c>
      <c r="H38" s="89" t="str">
        <f>IF(Bordero!B39="","",'Import A'!E32)</f>
        <v/>
      </c>
      <c r="I38" s="31" t="str">
        <f>IF(Bordero!G39="","",Bordero!G39)</f>
        <v/>
      </c>
      <c r="J38" s="99" t="str">
        <f>IF(Bordero!H39="","",Bordero!H39)</f>
        <v/>
      </c>
      <c r="K38" s="100" t="str">
        <f>IF(Bordero!K39="","",Bordero!K39)</f>
        <v/>
      </c>
      <c r="L38" s="49" t="str">
        <f t="shared" si="0"/>
        <v/>
      </c>
    </row>
    <row r="39" spans="1:12" s="49" customFormat="1" ht="15.75">
      <c r="A39" s="51" t="str">
        <f>Bordero!A40</f>
        <v>32</v>
      </c>
      <c r="B39" s="62" t="str">
        <f>IF(Bordero!B40="","",Bordero!B40)</f>
        <v/>
      </c>
      <c r="C39" s="61" t="str">
        <f>IF(Bordero!B40="","",Bordero!C40)</f>
        <v/>
      </c>
      <c r="D39" s="55" t="str">
        <f>IF(Bordero!B40="","",Bordero!D40)</f>
        <v/>
      </c>
      <c r="E39" s="52" t="str">
        <f>IF(Bordero!B40="","",Bordero!E40)</f>
        <v/>
      </c>
      <c r="F39" s="52" t="str">
        <f>IF(Bordero!B40="","",Bordero!F40)</f>
        <v/>
      </c>
      <c r="G39" s="53" t="str">
        <f>IF(Bordero!B40="","",Bordero!I40)</f>
        <v/>
      </c>
      <c r="H39" s="89" t="str">
        <f>IF(Bordero!B40="","",'Import A'!E33)</f>
        <v/>
      </c>
      <c r="I39" s="31" t="str">
        <f>IF(Bordero!G40="","",Bordero!G40)</f>
        <v/>
      </c>
      <c r="J39" s="99" t="str">
        <f>IF(Bordero!H40="","",Bordero!H40)</f>
        <v/>
      </c>
      <c r="K39" s="100" t="str">
        <f>IF(Bordero!K40="","",Bordero!K40)</f>
        <v/>
      </c>
      <c r="L39" s="49" t="str">
        <f t="shared" si="0"/>
        <v/>
      </c>
    </row>
    <row r="40" spans="1:12" s="49" customFormat="1" ht="15.75">
      <c r="A40" s="51" t="str">
        <f>Bordero!A41</f>
        <v>33</v>
      </c>
      <c r="B40" s="62" t="str">
        <f>IF(Bordero!B41="","",Bordero!B41)</f>
        <v/>
      </c>
      <c r="C40" s="61" t="str">
        <f>IF(Bordero!B41="","",Bordero!C41)</f>
        <v/>
      </c>
      <c r="D40" s="55" t="str">
        <f>IF(Bordero!B41="","",Bordero!D41)</f>
        <v/>
      </c>
      <c r="E40" s="52" t="str">
        <f>IF(Bordero!B41="","",Bordero!E41)</f>
        <v/>
      </c>
      <c r="F40" s="52" t="str">
        <f>IF(Bordero!B41="","",Bordero!F41)</f>
        <v/>
      </c>
      <c r="G40" s="53" t="str">
        <f>IF(Bordero!B41="","",Bordero!I41)</f>
        <v/>
      </c>
      <c r="H40" s="89" t="str">
        <f>IF(Bordero!B41="","",'Import A'!E34)</f>
        <v/>
      </c>
      <c r="I40" s="31" t="str">
        <f>IF(Bordero!G41="","",Bordero!G41)</f>
        <v/>
      </c>
      <c r="J40" s="99" t="str">
        <f>IF(Bordero!H41="","",Bordero!H41)</f>
        <v/>
      </c>
      <c r="K40" s="100" t="str">
        <f>IF(Bordero!K41="","",Bordero!K41)</f>
        <v/>
      </c>
      <c r="L40" s="49" t="str">
        <f t="shared" si="0"/>
        <v/>
      </c>
    </row>
    <row r="41" spans="1:12" s="49" customFormat="1" ht="15.75">
      <c r="A41" s="51" t="str">
        <f>Bordero!A42</f>
        <v>34</v>
      </c>
      <c r="B41" s="62" t="str">
        <f>IF(Bordero!B42="","",Bordero!B42)</f>
        <v/>
      </c>
      <c r="C41" s="61" t="str">
        <f>IF(Bordero!B42="","",Bordero!C42)</f>
        <v/>
      </c>
      <c r="D41" s="55" t="str">
        <f>IF(Bordero!B42="","",Bordero!D42)</f>
        <v/>
      </c>
      <c r="E41" s="52" t="str">
        <f>IF(Bordero!B42="","",Bordero!E42)</f>
        <v/>
      </c>
      <c r="F41" s="52" t="str">
        <f>IF(Bordero!B42="","",Bordero!F42)</f>
        <v/>
      </c>
      <c r="G41" s="53" t="str">
        <f>IF(Bordero!B42="","",Bordero!I42)</f>
        <v/>
      </c>
      <c r="H41" s="89" t="str">
        <f>IF(Bordero!B42="","",'Import A'!E35)</f>
        <v/>
      </c>
      <c r="I41" s="31" t="str">
        <f>IF(Bordero!G42="","",Bordero!G42)</f>
        <v/>
      </c>
      <c r="J41" s="99" t="str">
        <f>IF(Bordero!H42="","",Bordero!H42)</f>
        <v/>
      </c>
      <c r="K41" s="100" t="str">
        <f>IF(Bordero!K42="","",Bordero!K42)</f>
        <v/>
      </c>
      <c r="L41" s="49" t="str">
        <f t="shared" si="0"/>
        <v/>
      </c>
    </row>
    <row r="42" spans="1:12" s="49" customFormat="1" ht="15.75">
      <c r="A42" s="51" t="str">
        <f>Bordero!A43</f>
        <v>35</v>
      </c>
      <c r="B42" s="62" t="str">
        <f>IF(Bordero!B43="","",Bordero!B43)</f>
        <v/>
      </c>
      <c r="C42" s="61" t="str">
        <f>IF(Bordero!B43="","",Bordero!C43)</f>
        <v/>
      </c>
      <c r="D42" s="55" t="str">
        <f>IF(Bordero!B43="","",Bordero!D43)</f>
        <v/>
      </c>
      <c r="E42" s="52" t="str">
        <f>IF(Bordero!B43="","",Bordero!E43)</f>
        <v/>
      </c>
      <c r="F42" s="52" t="str">
        <f>IF(Bordero!B43="","",Bordero!F43)</f>
        <v/>
      </c>
      <c r="G42" s="53" t="str">
        <f>IF(Bordero!B43="","",Bordero!I43)</f>
        <v/>
      </c>
      <c r="H42" s="89" t="str">
        <f>IF(Bordero!B43="","",'Import A'!E36)</f>
        <v/>
      </c>
      <c r="I42" s="31" t="str">
        <f>IF(Bordero!G43="","",Bordero!G43)</f>
        <v/>
      </c>
      <c r="J42" s="99" t="str">
        <f>IF(Bordero!H43="","",Bordero!H43)</f>
        <v/>
      </c>
      <c r="K42" s="100" t="str">
        <f>IF(Bordero!K43="","",Bordero!K43)</f>
        <v/>
      </c>
      <c r="L42" s="49" t="str">
        <f t="shared" ref="L42:L106" si="1">IF(B42&lt;&gt;"",(F42-$L$1),"")</f>
        <v/>
      </c>
    </row>
    <row r="43" spans="1:12" ht="15.75">
      <c r="A43" s="51" t="str">
        <f>Bordero!A44</f>
        <v>36</v>
      </c>
      <c r="B43" s="62" t="str">
        <f>IF(Bordero!B44="","",Bordero!B44)</f>
        <v/>
      </c>
      <c r="C43" s="61" t="str">
        <f>IF(Bordero!B44="","",Bordero!C44)</f>
        <v/>
      </c>
      <c r="D43" s="55" t="str">
        <f>IF(Bordero!B44="","",Bordero!D44)</f>
        <v/>
      </c>
      <c r="E43" s="52" t="str">
        <f>IF(Bordero!B44="","",Bordero!E44)</f>
        <v/>
      </c>
      <c r="F43" s="52" t="str">
        <f>IF(Bordero!B44="","",Bordero!F44)</f>
        <v/>
      </c>
      <c r="G43" s="53" t="str">
        <f>IF(Bordero!B44="","",Bordero!I44)</f>
        <v/>
      </c>
      <c r="H43" s="89" t="str">
        <f>IF(Bordero!B44="","",'Import A'!E37)</f>
        <v/>
      </c>
      <c r="I43" s="31" t="str">
        <f>IF(Bordero!G44="","",Bordero!G44)</f>
        <v/>
      </c>
      <c r="J43" s="99" t="str">
        <f>IF(Bordero!H44="","",Bordero!H44)</f>
        <v/>
      </c>
      <c r="K43" s="100" t="str">
        <f>IF(Bordero!K44="","",Bordero!K44)</f>
        <v/>
      </c>
      <c r="L43" s="49" t="str">
        <f t="shared" si="1"/>
        <v/>
      </c>
    </row>
    <row r="44" spans="1:12" ht="15.75">
      <c r="A44" s="51" t="str">
        <f>Bordero!A45</f>
        <v>37</v>
      </c>
      <c r="B44" s="62" t="str">
        <f>IF(Bordero!B45="","",Bordero!B45)</f>
        <v/>
      </c>
      <c r="C44" s="61" t="str">
        <f>IF(Bordero!B45="","",Bordero!C45)</f>
        <v/>
      </c>
      <c r="D44" s="55" t="str">
        <f>IF(Bordero!B45="","",Bordero!D45)</f>
        <v/>
      </c>
      <c r="E44" s="52" t="str">
        <f>IF(Bordero!B45="","",Bordero!E45)</f>
        <v/>
      </c>
      <c r="F44" s="52" t="str">
        <f>IF(Bordero!B45="","",Bordero!F45)</f>
        <v/>
      </c>
      <c r="G44" s="53" t="str">
        <f>IF(Bordero!B45="","",Bordero!I45)</f>
        <v/>
      </c>
      <c r="H44" s="89" t="str">
        <f>IF(Bordero!B45="","",'Import A'!E38)</f>
        <v/>
      </c>
      <c r="I44" s="31" t="str">
        <f>IF(Bordero!G45="","",Bordero!G45)</f>
        <v/>
      </c>
      <c r="J44" s="99" t="str">
        <f>IF(Bordero!H45="","",Bordero!H45)</f>
        <v/>
      </c>
      <c r="K44" s="100" t="str">
        <f>IF(Bordero!K45="","",Bordero!K45)</f>
        <v/>
      </c>
      <c r="L44" s="49" t="str">
        <f t="shared" si="1"/>
        <v/>
      </c>
    </row>
    <row r="45" spans="1:12" ht="15.75">
      <c r="A45" s="51" t="str">
        <f>Bordero!A46</f>
        <v>38</v>
      </c>
      <c r="B45" s="62" t="str">
        <f>IF(Bordero!B46="","",Bordero!B46)</f>
        <v/>
      </c>
      <c r="C45" s="61" t="str">
        <f>IF(Bordero!B46="","",Bordero!C46)</f>
        <v/>
      </c>
      <c r="D45" s="55" t="str">
        <f>IF(Bordero!B46="","",Bordero!D46)</f>
        <v/>
      </c>
      <c r="E45" s="52" t="str">
        <f>IF(Bordero!B46="","",Bordero!E46)</f>
        <v/>
      </c>
      <c r="F45" s="52" t="str">
        <f>IF(Bordero!B46="","",Bordero!F46)</f>
        <v/>
      </c>
      <c r="G45" s="53" t="str">
        <f>IF(Bordero!B46="","",Bordero!I46)</f>
        <v/>
      </c>
      <c r="H45" s="89" t="str">
        <f>IF(Bordero!B46="","",'Import A'!E39)</f>
        <v/>
      </c>
      <c r="I45" s="31" t="str">
        <f>IF(Bordero!G46="","",Bordero!G46)</f>
        <v/>
      </c>
      <c r="J45" s="99" t="str">
        <f>IF(Bordero!H46="","",Bordero!H46)</f>
        <v/>
      </c>
      <c r="K45" s="100" t="str">
        <f>IF(Bordero!K46="","",Bordero!K46)</f>
        <v/>
      </c>
      <c r="L45" s="49" t="str">
        <f t="shared" si="1"/>
        <v/>
      </c>
    </row>
    <row r="46" spans="1:12" ht="15.75">
      <c r="A46" s="51" t="str">
        <f>Bordero!A47</f>
        <v>39</v>
      </c>
      <c r="B46" s="62" t="str">
        <f>IF(Bordero!B47="","",Bordero!B47)</f>
        <v/>
      </c>
      <c r="C46" s="61" t="str">
        <f>IF(Bordero!B47="","",Bordero!C47)</f>
        <v/>
      </c>
      <c r="D46" s="55" t="str">
        <f>IF(Bordero!B47="","",Bordero!D47)</f>
        <v/>
      </c>
      <c r="E46" s="52" t="str">
        <f>IF(Bordero!B47="","",Bordero!E47)</f>
        <v/>
      </c>
      <c r="F46" s="52" t="str">
        <f>IF(Bordero!B47="","",Bordero!F47)</f>
        <v/>
      </c>
      <c r="G46" s="53" t="str">
        <f>IF(Bordero!B47="","",Bordero!I47)</f>
        <v/>
      </c>
      <c r="H46" s="89" t="str">
        <f>IF(Bordero!B47="","",'Import A'!E40)</f>
        <v/>
      </c>
      <c r="I46" s="31" t="str">
        <f>IF(Bordero!G47="","",Bordero!G47)</f>
        <v/>
      </c>
      <c r="J46" s="99" t="str">
        <f>IF(Bordero!H47="","",Bordero!H47)</f>
        <v/>
      </c>
      <c r="K46" s="100" t="str">
        <f>IF(Bordero!K47="","",Bordero!K47)</f>
        <v/>
      </c>
      <c r="L46" s="49" t="str">
        <f t="shared" si="1"/>
        <v/>
      </c>
    </row>
    <row r="47" spans="1:12" ht="15.75">
      <c r="A47" s="51" t="str">
        <f>Bordero!A48</f>
        <v>40</v>
      </c>
      <c r="B47" s="62" t="str">
        <f>IF(Bordero!B48="","",Bordero!B48)</f>
        <v/>
      </c>
      <c r="C47" s="61" t="str">
        <f>IF(Bordero!B48="","",Bordero!C48)</f>
        <v/>
      </c>
      <c r="D47" s="55" t="str">
        <f>IF(Bordero!B48="","",Bordero!D48)</f>
        <v/>
      </c>
      <c r="E47" s="52" t="str">
        <f>IF(Bordero!B48="","",Bordero!E48)</f>
        <v/>
      </c>
      <c r="F47" s="52" t="str">
        <f>IF(Bordero!B48="","",Bordero!F48)</f>
        <v/>
      </c>
      <c r="G47" s="53" t="str">
        <f>IF(Bordero!B48="","",Bordero!I48)</f>
        <v/>
      </c>
      <c r="H47" s="89" t="str">
        <f>IF(Bordero!B48="","",'Import A'!E41)</f>
        <v/>
      </c>
      <c r="I47" s="31" t="str">
        <f>IF(Bordero!G48="","",Bordero!G48)</f>
        <v/>
      </c>
      <c r="J47" s="99" t="str">
        <f>IF(Bordero!H48="","",Bordero!H48)</f>
        <v/>
      </c>
      <c r="K47" s="100" t="str">
        <f>IF(Bordero!K48="","",Bordero!K48)</f>
        <v/>
      </c>
      <c r="L47" s="49" t="str">
        <f t="shared" si="1"/>
        <v/>
      </c>
    </row>
    <row r="48" spans="1:12" ht="15.75">
      <c r="A48" s="51" t="str">
        <f>Bordero!A49</f>
        <v>41</v>
      </c>
      <c r="B48" s="62" t="str">
        <f>IF(Bordero!B49="","",Bordero!B49)</f>
        <v/>
      </c>
      <c r="C48" s="61" t="str">
        <f>IF(Bordero!B49="","",Bordero!C49)</f>
        <v/>
      </c>
      <c r="D48" s="55" t="str">
        <f>IF(Bordero!B49="","",Bordero!D49)</f>
        <v/>
      </c>
      <c r="E48" s="52" t="str">
        <f>IF(Bordero!B49="","",Bordero!E49)</f>
        <v/>
      </c>
      <c r="F48" s="52" t="str">
        <f>IF(Bordero!B49="","",Bordero!F49)</f>
        <v/>
      </c>
      <c r="G48" s="53" t="str">
        <f>IF(Bordero!B49="","",Bordero!I49)</f>
        <v/>
      </c>
      <c r="H48" s="89" t="str">
        <f>IF(Bordero!B49="","",'Import A'!E42)</f>
        <v/>
      </c>
      <c r="I48" s="31" t="str">
        <f>IF(Bordero!G49="","",Bordero!G49)</f>
        <v/>
      </c>
      <c r="J48" s="99" t="str">
        <f>IF(Bordero!H49="","",Bordero!H49)</f>
        <v/>
      </c>
      <c r="K48" s="100" t="str">
        <f>IF(Bordero!K49="","",Bordero!K49)</f>
        <v/>
      </c>
      <c r="L48" s="49" t="str">
        <f t="shared" si="1"/>
        <v/>
      </c>
    </row>
    <row r="49" spans="1:12" ht="15.75">
      <c r="A49" s="51" t="str">
        <f>Bordero!A50</f>
        <v>42</v>
      </c>
      <c r="B49" s="62" t="str">
        <f>IF(Bordero!B50="","",Bordero!B50)</f>
        <v/>
      </c>
      <c r="C49" s="61" t="str">
        <f>IF(Bordero!B50="","",Bordero!C50)</f>
        <v/>
      </c>
      <c r="D49" s="55" t="str">
        <f>IF(Bordero!B50="","",Bordero!D50)</f>
        <v/>
      </c>
      <c r="E49" s="52" t="str">
        <f>IF(Bordero!B50="","",Bordero!E50)</f>
        <v/>
      </c>
      <c r="F49" s="52" t="str">
        <f>IF(Bordero!B50="","",Bordero!F50)</f>
        <v/>
      </c>
      <c r="G49" s="53" t="str">
        <f>IF(Bordero!B50="","",Bordero!I50)</f>
        <v/>
      </c>
      <c r="H49" s="89" t="str">
        <f>IF(Bordero!B50="","",'Import A'!E43)</f>
        <v/>
      </c>
      <c r="I49" s="31" t="str">
        <f>IF(Bordero!G50="","",Bordero!G50)</f>
        <v/>
      </c>
      <c r="J49" s="99" t="str">
        <f>IF(Bordero!H50="","",Bordero!H50)</f>
        <v/>
      </c>
      <c r="K49" s="100" t="str">
        <f>IF(Bordero!K50="","",Bordero!K50)</f>
        <v/>
      </c>
      <c r="L49" s="49" t="str">
        <f t="shared" si="1"/>
        <v/>
      </c>
    </row>
    <row r="50" spans="1:12" ht="15.75">
      <c r="A50" s="51" t="str">
        <f>Bordero!A51</f>
        <v>43</v>
      </c>
      <c r="B50" s="62" t="str">
        <f>IF(Bordero!B51="","",Bordero!B51)</f>
        <v/>
      </c>
      <c r="C50" s="61" t="str">
        <f>IF(Bordero!B51="","",Bordero!C51)</f>
        <v/>
      </c>
      <c r="D50" s="55" t="str">
        <f>IF(Bordero!B51="","",Bordero!D51)</f>
        <v/>
      </c>
      <c r="E50" s="52" t="str">
        <f>IF(Bordero!B51="","",Bordero!E51)</f>
        <v/>
      </c>
      <c r="F50" s="52" t="str">
        <f>IF(Bordero!B51="","",Bordero!F51)</f>
        <v/>
      </c>
      <c r="G50" s="53" t="str">
        <f>IF(Bordero!B51="","",Bordero!I51)</f>
        <v/>
      </c>
      <c r="H50" s="89" t="str">
        <f>IF(Bordero!B51="","",'Import A'!E44)</f>
        <v/>
      </c>
      <c r="I50" s="31" t="str">
        <f>IF(Bordero!G51="","",Bordero!G51)</f>
        <v/>
      </c>
      <c r="J50" s="99" t="str">
        <f>IF(Bordero!H51="","",Bordero!H51)</f>
        <v/>
      </c>
      <c r="K50" s="100" t="str">
        <f>IF(Bordero!K51="","",Bordero!K51)</f>
        <v/>
      </c>
      <c r="L50" s="49" t="str">
        <f t="shared" si="1"/>
        <v/>
      </c>
    </row>
    <row r="51" spans="1:12" ht="15.75">
      <c r="A51" s="51" t="str">
        <f>Bordero!A52</f>
        <v>44</v>
      </c>
      <c r="B51" s="62" t="str">
        <f>IF(Bordero!B52="","",Bordero!B52)</f>
        <v/>
      </c>
      <c r="C51" s="61" t="str">
        <f>IF(Bordero!B52="","",Bordero!C52)</f>
        <v/>
      </c>
      <c r="D51" s="55" t="str">
        <f>IF(Bordero!B52="","",Bordero!D52)</f>
        <v/>
      </c>
      <c r="E51" s="52" t="str">
        <f>IF(Bordero!B52="","",Bordero!E52)</f>
        <v/>
      </c>
      <c r="F51" s="52" t="str">
        <f>IF(Bordero!B52="","",Bordero!F52)</f>
        <v/>
      </c>
      <c r="G51" s="53" t="str">
        <f>IF(Bordero!B52="","",Bordero!I52)</f>
        <v/>
      </c>
      <c r="H51" s="89" t="str">
        <f>IF(Bordero!B52="","",'Import A'!E45)</f>
        <v/>
      </c>
      <c r="I51" s="31" t="str">
        <f>IF(Bordero!G52="","",Bordero!G52)</f>
        <v/>
      </c>
      <c r="J51" s="99" t="str">
        <f>IF(Bordero!H52="","",Bordero!H52)</f>
        <v/>
      </c>
      <c r="K51" s="100" t="str">
        <f>IF(Bordero!K52="","",Bordero!K52)</f>
        <v/>
      </c>
      <c r="L51" s="49" t="str">
        <f t="shared" si="1"/>
        <v/>
      </c>
    </row>
    <row r="52" spans="1:12" ht="15.75">
      <c r="A52" s="51" t="str">
        <f>Bordero!A53</f>
        <v>45</v>
      </c>
      <c r="B52" s="62" t="str">
        <f>IF(Bordero!B53="","",Bordero!B53)</f>
        <v/>
      </c>
      <c r="C52" s="61" t="str">
        <f>IF(Bordero!B53="","",Bordero!C53)</f>
        <v/>
      </c>
      <c r="D52" s="55" t="str">
        <f>IF(Bordero!B53="","",Bordero!D53)</f>
        <v/>
      </c>
      <c r="E52" s="52" t="str">
        <f>IF(Bordero!B53="","",Bordero!E53)</f>
        <v/>
      </c>
      <c r="F52" s="52" t="str">
        <f>IF(Bordero!B53="","",Bordero!F53)</f>
        <v/>
      </c>
      <c r="G52" s="53" t="str">
        <f>IF(Bordero!B53="","",Bordero!I53)</f>
        <v/>
      </c>
      <c r="H52" s="89" t="str">
        <f>IF(Bordero!B53="","",'Import A'!E46)</f>
        <v/>
      </c>
      <c r="I52" s="31" t="str">
        <f>IF(Bordero!G53="","",Bordero!G53)</f>
        <v/>
      </c>
      <c r="J52" s="99" t="str">
        <f>IF(Bordero!H53="","",Bordero!H53)</f>
        <v/>
      </c>
      <c r="K52" s="100" t="str">
        <f>IF(Bordero!K53="","",Bordero!K53)</f>
        <v/>
      </c>
      <c r="L52" s="49" t="str">
        <f t="shared" si="1"/>
        <v/>
      </c>
    </row>
    <row r="53" spans="1:12" ht="15.75">
      <c r="A53" s="51" t="str">
        <f>Bordero!A54</f>
        <v>46</v>
      </c>
      <c r="B53" s="62" t="str">
        <f>IF(Bordero!B54="","",Bordero!B54)</f>
        <v/>
      </c>
      <c r="C53" s="61" t="str">
        <f>IF(Bordero!B54="","",Bordero!C54)</f>
        <v/>
      </c>
      <c r="D53" s="55" t="str">
        <f>IF(Bordero!B54="","",Bordero!D54)</f>
        <v/>
      </c>
      <c r="E53" s="52" t="str">
        <f>IF(Bordero!B54="","",Bordero!E54)</f>
        <v/>
      </c>
      <c r="F53" s="52" t="str">
        <f>IF(Bordero!B54="","",Bordero!F54)</f>
        <v/>
      </c>
      <c r="G53" s="53" t="str">
        <f>IF(Bordero!B54="","",Bordero!I54)</f>
        <v/>
      </c>
      <c r="H53" s="89" t="str">
        <f>IF(Bordero!B54="","",'Import A'!E47)</f>
        <v/>
      </c>
      <c r="I53" s="31" t="str">
        <f>IF(Bordero!G54="","",Bordero!G54)</f>
        <v/>
      </c>
      <c r="J53" s="99" t="str">
        <f>IF(Bordero!H54="","",Bordero!H54)</f>
        <v/>
      </c>
      <c r="K53" s="100" t="str">
        <f>IF(Bordero!K54="","",Bordero!K54)</f>
        <v/>
      </c>
      <c r="L53" s="49" t="str">
        <f t="shared" si="1"/>
        <v/>
      </c>
    </row>
    <row r="54" spans="1:12" ht="15.75">
      <c r="A54" s="51" t="str">
        <f>Bordero!A55</f>
        <v>47</v>
      </c>
      <c r="B54" s="62" t="str">
        <f>IF(Bordero!B55="","",Bordero!B55)</f>
        <v/>
      </c>
      <c r="C54" s="61" t="str">
        <f>IF(Bordero!B55="","",Bordero!C55)</f>
        <v/>
      </c>
      <c r="D54" s="55" t="str">
        <f>IF(Bordero!B55="","",Bordero!D55)</f>
        <v/>
      </c>
      <c r="E54" s="52" t="str">
        <f>IF(Bordero!B55="","",Bordero!E55)</f>
        <v/>
      </c>
      <c r="F54" s="52" t="str">
        <f>IF(Bordero!B55="","",Bordero!F55)</f>
        <v/>
      </c>
      <c r="G54" s="53" t="str">
        <f>IF(Bordero!B55="","",Bordero!I55)</f>
        <v/>
      </c>
      <c r="H54" s="89" t="str">
        <f>IF(Bordero!B55="","",'Import A'!E48)</f>
        <v/>
      </c>
      <c r="I54" s="31" t="str">
        <f>IF(Bordero!G55="","",Bordero!G55)</f>
        <v/>
      </c>
      <c r="J54" s="99" t="str">
        <f>IF(Bordero!H55="","",Bordero!H55)</f>
        <v/>
      </c>
      <c r="K54" s="100" t="str">
        <f>IF(Bordero!K55="","",Bordero!K55)</f>
        <v/>
      </c>
      <c r="L54" s="49" t="str">
        <f t="shared" si="1"/>
        <v/>
      </c>
    </row>
    <row r="55" spans="1:12" ht="15.75">
      <c r="A55" s="51" t="str">
        <f>Bordero!A56</f>
        <v>48</v>
      </c>
      <c r="B55" s="62" t="str">
        <f>IF(Bordero!B56="","",Bordero!B56)</f>
        <v/>
      </c>
      <c r="C55" s="61" t="str">
        <f>IF(Bordero!B56="","",Bordero!C56)</f>
        <v/>
      </c>
      <c r="D55" s="55" t="str">
        <f>IF(Bordero!B56="","",Bordero!D56)</f>
        <v/>
      </c>
      <c r="E55" s="52" t="str">
        <f>IF(Bordero!B56="","",Bordero!E56)</f>
        <v/>
      </c>
      <c r="F55" s="52" t="str">
        <f>IF(Bordero!B56="","",Bordero!F56)</f>
        <v/>
      </c>
      <c r="G55" s="53" t="str">
        <f>IF(Bordero!B56="","",Bordero!I56)</f>
        <v/>
      </c>
      <c r="H55" s="89" t="str">
        <f>IF(Bordero!B56="","",'Import A'!E49)</f>
        <v/>
      </c>
      <c r="I55" s="31" t="str">
        <f>IF(Bordero!G56="","",Bordero!G56)</f>
        <v/>
      </c>
      <c r="J55" s="99" t="str">
        <f>IF(Bordero!H56="","",Bordero!H56)</f>
        <v/>
      </c>
      <c r="K55" s="100" t="str">
        <f>IF(Bordero!K56="","",Bordero!K56)</f>
        <v/>
      </c>
      <c r="L55" s="49" t="str">
        <f t="shared" si="1"/>
        <v/>
      </c>
    </row>
    <row r="56" spans="1:12" ht="15.75">
      <c r="A56" s="51" t="str">
        <f>Bordero!A57</f>
        <v>49</v>
      </c>
      <c r="B56" s="62" t="str">
        <f>IF(Bordero!B57="","",Bordero!B57)</f>
        <v/>
      </c>
      <c r="C56" s="61" t="str">
        <f>IF(Bordero!B57="","",Bordero!C57)</f>
        <v/>
      </c>
      <c r="D56" s="55" t="str">
        <f>IF(Bordero!B57="","",Bordero!D57)</f>
        <v/>
      </c>
      <c r="E56" s="52" t="str">
        <f>IF(Bordero!B57="","",Bordero!E57)</f>
        <v/>
      </c>
      <c r="F56" s="52" t="str">
        <f>IF(Bordero!B57="","",Bordero!F57)</f>
        <v/>
      </c>
      <c r="G56" s="53" t="str">
        <f>IF(Bordero!B57="","",Bordero!I57)</f>
        <v/>
      </c>
      <c r="H56" s="89" t="str">
        <f>IF(Bordero!B57="","",'Import A'!E50)</f>
        <v/>
      </c>
      <c r="I56" s="31" t="str">
        <f>IF(Bordero!G57="","",Bordero!G57)</f>
        <v/>
      </c>
      <c r="J56" s="99" t="str">
        <f>IF(Bordero!H57="","",Bordero!H57)</f>
        <v/>
      </c>
      <c r="K56" s="100" t="str">
        <f>IF(Bordero!K57="","",Bordero!K57)</f>
        <v/>
      </c>
      <c r="L56" s="49" t="str">
        <f t="shared" si="1"/>
        <v/>
      </c>
    </row>
    <row r="57" spans="1:12" ht="15.75">
      <c r="A57" s="51" t="str">
        <f>Bordero!A58</f>
        <v>50</v>
      </c>
      <c r="B57" s="62" t="str">
        <f>IF(Bordero!B58="","",Bordero!B58)</f>
        <v/>
      </c>
      <c r="C57" s="61" t="str">
        <f>IF(Bordero!B58="","",Bordero!C58)</f>
        <v/>
      </c>
      <c r="D57" s="55" t="str">
        <f>IF(Bordero!B58="","",Bordero!D58)</f>
        <v/>
      </c>
      <c r="E57" s="52" t="str">
        <f>IF(Bordero!B58="","",Bordero!E58)</f>
        <v/>
      </c>
      <c r="F57" s="52" t="str">
        <f>IF(Bordero!B58="","",Bordero!F58)</f>
        <v/>
      </c>
      <c r="G57" s="53" t="str">
        <f>IF(Bordero!B58="","",Bordero!I58)</f>
        <v/>
      </c>
      <c r="H57" s="89" t="str">
        <f>IF(Bordero!B58="","",'Import A'!E51)</f>
        <v/>
      </c>
      <c r="I57" s="31" t="str">
        <f>IF(Bordero!G58="","",Bordero!G58)</f>
        <v/>
      </c>
      <c r="J57" s="99" t="str">
        <f>IF(Bordero!H58="","",Bordero!H58)</f>
        <v/>
      </c>
      <c r="K57" s="100" t="str">
        <f>IF(Bordero!K58="","",Bordero!K58)</f>
        <v/>
      </c>
      <c r="L57" s="49" t="str">
        <f t="shared" si="1"/>
        <v/>
      </c>
    </row>
    <row r="58" spans="1:12" ht="15.75">
      <c r="A58" s="51" t="str">
        <f>Bordero!A59</f>
        <v>51</v>
      </c>
      <c r="B58" s="62" t="str">
        <f>IF(Bordero!B59="","",Bordero!B59)</f>
        <v/>
      </c>
      <c r="C58" s="61" t="str">
        <f>IF(Bordero!B59="","",Bordero!C59)</f>
        <v/>
      </c>
      <c r="D58" s="55" t="str">
        <f>IF(Bordero!B59="","",Bordero!D59)</f>
        <v/>
      </c>
      <c r="E58" s="52" t="str">
        <f>IF(Bordero!B59="","",Bordero!E59)</f>
        <v/>
      </c>
      <c r="F58" s="52" t="str">
        <f>IF(Bordero!B59="","",Bordero!F59)</f>
        <v/>
      </c>
      <c r="G58" s="53" t="str">
        <f>IF(Bordero!B59="","",Bordero!I59)</f>
        <v/>
      </c>
      <c r="H58" s="89" t="str">
        <f>IF(Bordero!B59="","",'Import A'!E52)</f>
        <v/>
      </c>
      <c r="I58" s="31" t="str">
        <f>IF(Bordero!G59="","",Bordero!G59)</f>
        <v/>
      </c>
      <c r="J58" s="99" t="str">
        <f>IF(Bordero!H59="","",Bordero!H59)</f>
        <v/>
      </c>
      <c r="K58" s="100" t="str">
        <f>IF(Bordero!K59="","",Bordero!K59)</f>
        <v/>
      </c>
      <c r="L58" s="49" t="str">
        <f t="shared" si="1"/>
        <v/>
      </c>
    </row>
    <row r="59" spans="1:12" ht="15.75">
      <c r="A59" s="51" t="str">
        <f>Bordero!A60</f>
        <v>52</v>
      </c>
      <c r="B59" s="62" t="str">
        <f>IF(Bordero!B60="","",Bordero!B60)</f>
        <v/>
      </c>
      <c r="C59" s="61" t="str">
        <f>IF(Bordero!B60="","",Bordero!C60)</f>
        <v/>
      </c>
      <c r="D59" s="55" t="str">
        <f>IF(Bordero!B60="","",Bordero!D60)</f>
        <v/>
      </c>
      <c r="E59" s="52" t="str">
        <f>IF(Bordero!B60="","",Bordero!E60)</f>
        <v/>
      </c>
      <c r="F59" s="52" t="str">
        <f>IF(Bordero!B60="","",Bordero!F60)</f>
        <v/>
      </c>
      <c r="G59" s="53" t="str">
        <f>IF(Bordero!B60="","",Bordero!I60)</f>
        <v/>
      </c>
      <c r="H59" s="89" t="str">
        <f>IF(Bordero!B60="","",'Import A'!E53)</f>
        <v/>
      </c>
      <c r="I59" s="31" t="str">
        <f>IF(Bordero!G60="","",Bordero!G60)</f>
        <v/>
      </c>
      <c r="J59" s="99" t="str">
        <f>IF(Bordero!H60="","",Bordero!H60)</f>
        <v/>
      </c>
      <c r="K59" s="100" t="str">
        <f>IF(Bordero!K60="","",Bordero!K60)</f>
        <v/>
      </c>
      <c r="L59" s="49" t="str">
        <f t="shared" si="1"/>
        <v/>
      </c>
    </row>
    <row r="60" spans="1:12" ht="15.75">
      <c r="A60" s="51" t="str">
        <f>Bordero!A61</f>
        <v>53</v>
      </c>
      <c r="B60" s="62" t="str">
        <f>IF(Bordero!B61="","",Bordero!B61)</f>
        <v/>
      </c>
      <c r="C60" s="61" t="str">
        <f>IF(Bordero!B61="","",Bordero!C61)</f>
        <v/>
      </c>
      <c r="D60" s="55" t="str">
        <f>IF(Bordero!B61="","",Bordero!D61)</f>
        <v/>
      </c>
      <c r="E60" s="52" t="str">
        <f>IF(Bordero!B61="","",Bordero!E61)</f>
        <v/>
      </c>
      <c r="F60" s="52" t="str">
        <f>IF(Bordero!B61="","",Bordero!F61)</f>
        <v/>
      </c>
      <c r="G60" s="53" t="str">
        <f>IF(Bordero!B61="","",Bordero!I61)</f>
        <v/>
      </c>
      <c r="H60" s="89" t="str">
        <f>IF(Bordero!B61="","",'Import A'!E54)</f>
        <v/>
      </c>
      <c r="I60" s="31" t="str">
        <f>IF(Bordero!G61="","",Bordero!G61)</f>
        <v/>
      </c>
      <c r="J60" s="99" t="str">
        <f>IF(Bordero!H61="","",Bordero!H61)</f>
        <v/>
      </c>
      <c r="K60" s="100" t="str">
        <f>IF(Bordero!K61="","",Bordero!K61)</f>
        <v/>
      </c>
      <c r="L60" s="49" t="str">
        <f t="shared" si="1"/>
        <v/>
      </c>
    </row>
    <row r="61" spans="1:12" ht="15.75">
      <c r="A61" s="51" t="str">
        <f>Bordero!A62</f>
        <v>54</v>
      </c>
      <c r="B61" s="62" t="str">
        <f>IF(Bordero!B62="","",Bordero!B62)</f>
        <v/>
      </c>
      <c r="C61" s="61" t="str">
        <f>IF(Bordero!B62="","",Bordero!C62)</f>
        <v/>
      </c>
      <c r="D61" s="55" t="str">
        <f>IF(Bordero!B62="","",Bordero!D62)</f>
        <v/>
      </c>
      <c r="E61" s="52" t="str">
        <f>IF(Bordero!B62="","",Bordero!E62)</f>
        <v/>
      </c>
      <c r="F61" s="52" t="str">
        <f>IF(Bordero!B62="","",Bordero!F62)</f>
        <v/>
      </c>
      <c r="G61" s="53" t="str">
        <f>IF(Bordero!B62="","",Bordero!I62)</f>
        <v/>
      </c>
      <c r="H61" s="89" t="str">
        <f>IF(Bordero!B62="","",'Import A'!E55)</f>
        <v/>
      </c>
      <c r="I61" s="31" t="str">
        <f>IF(Bordero!G62="","",Bordero!G62)</f>
        <v/>
      </c>
      <c r="J61" s="99" t="str">
        <f>IF(Bordero!H62="","",Bordero!H62)</f>
        <v/>
      </c>
      <c r="K61" s="100" t="str">
        <f>IF(Bordero!K62="","",Bordero!K62)</f>
        <v/>
      </c>
      <c r="L61" s="49" t="str">
        <f t="shared" si="1"/>
        <v/>
      </c>
    </row>
    <row r="62" spans="1:12" ht="15.75">
      <c r="A62" s="51" t="str">
        <f>Bordero!A63</f>
        <v>55</v>
      </c>
      <c r="B62" s="62" t="str">
        <f>IF(Bordero!B63="","",Bordero!B63)</f>
        <v/>
      </c>
      <c r="C62" s="61" t="str">
        <f>IF(Bordero!B63="","",Bordero!C63)</f>
        <v/>
      </c>
      <c r="D62" s="55" t="str">
        <f>IF(Bordero!B63="","",Bordero!D63)</f>
        <v/>
      </c>
      <c r="E62" s="52" t="str">
        <f>IF(Bordero!B63="","",Bordero!E63)</f>
        <v/>
      </c>
      <c r="F62" s="52" t="str">
        <f>IF(Bordero!B63="","",Bordero!F63)</f>
        <v/>
      </c>
      <c r="G62" s="53" t="str">
        <f>IF(Bordero!B63="","",Bordero!I63)</f>
        <v/>
      </c>
      <c r="H62" s="89" t="str">
        <f>IF(Bordero!B63="","",'Import A'!E56)</f>
        <v/>
      </c>
      <c r="I62" s="31" t="str">
        <f>IF(Bordero!G63="","",Bordero!G63)</f>
        <v/>
      </c>
      <c r="J62" s="99" t="str">
        <f>IF(Bordero!H63="","",Bordero!H63)</f>
        <v/>
      </c>
      <c r="K62" s="100" t="str">
        <f>IF(Bordero!K63="","",Bordero!K63)</f>
        <v/>
      </c>
      <c r="L62" s="49" t="str">
        <f t="shared" si="1"/>
        <v/>
      </c>
    </row>
    <row r="63" spans="1:12" ht="15.75">
      <c r="A63" s="51" t="str">
        <f>Bordero!A64</f>
        <v>56</v>
      </c>
      <c r="B63" s="62" t="str">
        <f>IF(Bordero!B64="","",Bordero!B64)</f>
        <v/>
      </c>
      <c r="C63" s="61" t="str">
        <f>IF(Bordero!B64="","",Bordero!C64)</f>
        <v/>
      </c>
      <c r="D63" s="55" t="str">
        <f>IF(Bordero!B64="","",Bordero!D64)</f>
        <v/>
      </c>
      <c r="E63" s="52" t="str">
        <f>IF(Bordero!B64="","",Bordero!E64)</f>
        <v/>
      </c>
      <c r="F63" s="52" t="str">
        <f>IF(Bordero!B64="","",Bordero!F64)</f>
        <v/>
      </c>
      <c r="G63" s="53" t="str">
        <f>IF(Bordero!B64="","",Bordero!I64)</f>
        <v/>
      </c>
      <c r="H63" s="89" t="str">
        <f>IF(Bordero!B64="","",'Import A'!E57)</f>
        <v/>
      </c>
      <c r="I63" s="31" t="str">
        <f>IF(Bordero!G64="","",Bordero!G64)</f>
        <v/>
      </c>
      <c r="J63" s="99" t="str">
        <f>IF(Bordero!H64="","",Bordero!H64)</f>
        <v/>
      </c>
      <c r="K63" s="100" t="str">
        <f>IF(Bordero!K64="","",Bordero!K64)</f>
        <v/>
      </c>
      <c r="L63" s="49" t="str">
        <f t="shared" si="1"/>
        <v/>
      </c>
    </row>
    <row r="64" spans="1:12" ht="15.75">
      <c r="A64" s="51" t="str">
        <f>Bordero!A65</f>
        <v>57</v>
      </c>
      <c r="B64" s="62" t="str">
        <f>IF(Bordero!B65="","",Bordero!B65)</f>
        <v/>
      </c>
      <c r="C64" s="61" t="str">
        <f>IF(Bordero!B65="","",Bordero!C65)</f>
        <v/>
      </c>
      <c r="D64" s="55" t="str">
        <f>IF(Bordero!B65="","",Bordero!D65)</f>
        <v/>
      </c>
      <c r="E64" s="52" t="str">
        <f>IF(Bordero!B65="","",Bordero!E65)</f>
        <v/>
      </c>
      <c r="F64" s="52" t="str">
        <f>IF(Bordero!B65="","",Bordero!F65)</f>
        <v/>
      </c>
      <c r="G64" s="53" t="str">
        <f>IF(Bordero!B65="","",Bordero!I65)</f>
        <v/>
      </c>
      <c r="H64" s="89" t="str">
        <f>IF(Bordero!B65="","",'Import A'!E58)</f>
        <v/>
      </c>
      <c r="I64" s="31" t="str">
        <f>IF(Bordero!G65="","",Bordero!G65)</f>
        <v/>
      </c>
      <c r="J64" s="99" t="str">
        <f>IF(Bordero!H65="","",Bordero!H65)</f>
        <v/>
      </c>
      <c r="K64" s="100" t="str">
        <f>IF(Bordero!K65="","",Bordero!K65)</f>
        <v/>
      </c>
      <c r="L64" s="49" t="str">
        <f t="shared" si="1"/>
        <v/>
      </c>
    </row>
    <row r="65" spans="1:12" ht="15.75">
      <c r="A65" s="51" t="str">
        <f>Bordero!A66</f>
        <v>58</v>
      </c>
      <c r="B65" s="62" t="str">
        <f>IF(Bordero!B66="","",Bordero!B66)</f>
        <v/>
      </c>
      <c r="C65" s="61" t="str">
        <f>IF(Bordero!B66="","",Bordero!C66)</f>
        <v/>
      </c>
      <c r="D65" s="55" t="str">
        <f>IF(Bordero!B66="","",Bordero!D66)</f>
        <v/>
      </c>
      <c r="E65" s="52" t="str">
        <f>IF(Bordero!B66="","",Bordero!E66)</f>
        <v/>
      </c>
      <c r="F65" s="52" t="str">
        <f>IF(Bordero!B66="","",Bordero!F66)</f>
        <v/>
      </c>
      <c r="G65" s="53" t="str">
        <f>IF(Bordero!B66="","",Bordero!I66)</f>
        <v/>
      </c>
      <c r="H65" s="89" t="str">
        <f>IF(Bordero!B66="","",'Import A'!E59)</f>
        <v/>
      </c>
      <c r="I65" s="31" t="str">
        <f>IF(Bordero!G66="","",Bordero!G66)</f>
        <v/>
      </c>
      <c r="J65" s="99" t="str">
        <f>IF(Bordero!H66="","",Bordero!H66)</f>
        <v/>
      </c>
      <c r="K65" s="100" t="str">
        <f>IF(Bordero!K66="","",Bordero!K66)</f>
        <v/>
      </c>
      <c r="L65" s="49" t="str">
        <f t="shared" si="1"/>
        <v/>
      </c>
    </row>
    <row r="66" spans="1:12" ht="15.75">
      <c r="A66" s="51" t="str">
        <f>Bordero!A67</f>
        <v>59</v>
      </c>
      <c r="B66" s="62" t="str">
        <f>IF(Bordero!B67="","",Bordero!B67)</f>
        <v/>
      </c>
      <c r="C66" s="61" t="str">
        <f>IF(Bordero!B67="","",Bordero!C67)</f>
        <v/>
      </c>
      <c r="D66" s="55" t="str">
        <f>IF(Bordero!B67="","",Bordero!D67)</f>
        <v/>
      </c>
      <c r="E66" s="52" t="str">
        <f>IF(Bordero!B67="","",Bordero!E67)</f>
        <v/>
      </c>
      <c r="F66" s="52" t="str">
        <f>IF(Bordero!B67="","",Bordero!F67)</f>
        <v/>
      </c>
      <c r="G66" s="53" t="str">
        <f>IF(Bordero!B67="","",Bordero!I67)</f>
        <v/>
      </c>
      <c r="H66" s="89" t="str">
        <f>IF(Bordero!B67="","",'Import A'!E60)</f>
        <v/>
      </c>
      <c r="I66" s="31" t="str">
        <f>IF(Bordero!G67="","",Bordero!G67)</f>
        <v/>
      </c>
      <c r="J66" s="99" t="str">
        <f>IF(Bordero!H67="","",Bordero!H67)</f>
        <v/>
      </c>
      <c r="K66" s="100" t="str">
        <f>IF(Bordero!K67="","",Bordero!K67)</f>
        <v/>
      </c>
      <c r="L66" s="49" t="str">
        <f t="shared" si="1"/>
        <v/>
      </c>
    </row>
    <row r="67" spans="1:12" ht="15.75">
      <c r="A67" s="51" t="str">
        <f>Bordero!A68</f>
        <v>60</v>
      </c>
      <c r="B67" s="62" t="str">
        <f>IF(Bordero!B68="","",Bordero!B68)</f>
        <v/>
      </c>
      <c r="C67" s="61" t="str">
        <f>IF(Bordero!B68="","",Bordero!C68)</f>
        <v/>
      </c>
      <c r="D67" s="55" t="str">
        <f>IF(Bordero!B68="","",Bordero!D68)</f>
        <v/>
      </c>
      <c r="E67" s="52" t="str">
        <f>IF(Bordero!B68="","",Bordero!E68)</f>
        <v/>
      </c>
      <c r="F67" s="52" t="str">
        <f>IF(Bordero!B68="","",Bordero!F68)</f>
        <v/>
      </c>
      <c r="G67" s="53" t="str">
        <f>IF(Bordero!B68="","",Bordero!I68)</f>
        <v/>
      </c>
      <c r="H67" s="89" t="str">
        <f>IF(Bordero!B68="","",'Import A'!E61)</f>
        <v/>
      </c>
      <c r="I67" s="31" t="str">
        <f>IF(Bordero!G68="","",Bordero!G68)</f>
        <v/>
      </c>
      <c r="J67" s="99" t="str">
        <f>IF(Bordero!H68="","",Bordero!H68)</f>
        <v/>
      </c>
      <c r="K67" s="100" t="str">
        <f>IF(Bordero!K68="","",Bordero!K68)</f>
        <v/>
      </c>
      <c r="L67" s="49" t="str">
        <f t="shared" si="1"/>
        <v/>
      </c>
    </row>
    <row r="68" spans="1:12" ht="15.75">
      <c r="A68" s="51" t="str">
        <f>Bordero!A69</f>
        <v>61</v>
      </c>
      <c r="B68" s="62" t="str">
        <f>IF(Bordero!B69="","",Bordero!B69)</f>
        <v/>
      </c>
      <c r="C68" s="61" t="str">
        <f>IF(Bordero!B69="","",Bordero!C69)</f>
        <v/>
      </c>
      <c r="D68" s="55" t="str">
        <f>IF(Bordero!B69="","",Bordero!D69)</f>
        <v/>
      </c>
      <c r="E68" s="52" t="str">
        <f>IF(Bordero!B69="","",Bordero!E69)</f>
        <v/>
      </c>
      <c r="F68" s="52" t="str">
        <f>IF(Bordero!B69="","",Bordero!F69)</f>
        <v/>
      </c>
      <c r="G68" s="53" t="str">
        <f>IF(Bordero!B69="","",Bordero!I69)</f>
        <v/>
      </c>
      <c r="H68" s="89" t="str">
        <f>IF(Bordero!B69="","",'Import A'!E62)</f>
        <v/>
      </c>
      <c r="I68" s="31" t="str">
        <f>IF(Bordero!G69="","",Bordero!G69)</f>
        <v/>
      </c>
      <c r="J68" s="99" t="str">
        <f>IF(Bordero!H69="","",Bordero!H69)</f>
        <v/>
      </c>
      <c r="K68" s="100" t="str">
        <f>IF(Bordero!K69="","",Bordero!K69)</f>
        <v/>
      </c>
      <c r="L68" s="49" t="str">
        <f t="shared" si="1"/>
        <v/>
      </c>
    </row>
    <row r="69" spans="1:12" ht="15.75">
      <c r="A69" s="51" t="str">
        <f>Bordero!A70</f>
        <v>62</v>
      </c>
      <c r="B69" s="62" t="str">
        <f>IF(Bordero!B70="","",Bordero!B70)</f>
        <v/>
      </c>
      <c r="C69" s="61" t="str">
        <f>IF(Bordero!B70="","",Bordero!C70)</f>
        <v/>
      </c>
      <c r="D69" s="55" t="str">
        <f>IF(Bordero!B70="","",Bordero!D70)</f>
        <v/>
      </c>
      <c r="E69" s="52" t="str">
        <f>IF(Bordero!B70="","",Bordero!E70)</f>
        <v/>
      </c>
      <c r="F69" s="52" t="str">
        <f>IF(Bordero!B70="","",Bordero!F70)</f>
        <v/>
      </c>
      <c r="G69" s="53" t="str">
        <f>IF(Bordero!B70="","",Bordero!I70)</f>
        <v/>
      </c>
      <c r="H69" s="89" t="str">
        <f>IF(Bordero!B70="","",'Import A'!E63)</f>
        <v/>
      </c>
      <c r="I69" s="31" t="str">
        <f>IF(Bordero!G70="","",Bordero!G70)</f>
        <v/>
      </c>
      <c r="J69" s="99" t="str">
        <f>IF(Bordero!H70="","",Bordero!H70)</f>
        <v/>
      </c>
      <c r="K69" s="100" t="str">
        <f>IF(Bordero!K70="","",Bordero!K70)</f>
        <v/>
      </c>
      <c r="L69" s="49" t="str">
        <f t="shared" si="1"/>
        <v/>
      </c>
    </row>
    <row r="70" spans="1:12" ht="15.75">
      <c r="A70" s="51" t="str">
        <f>Bordero!A71</f>
        <v>63</v>
      </c>
      <c r="B70" s="62" t="str">
        <f>IF(Bordero!B71="","",Bordero!B71)</f>
        <v/>
      </c>
      <c r="C70" s="61" t="str">
        <f>IF(Bordero!B71="","",Bordero!C71)</f>
        <v/>
      </c>
      <c r="D70" s="55" t="str">
        <f>IF(Bordero!B71="","",Bordero!D71)</f>
        <v/>
      </c>
      <c r="E70" s="52" t="str">
        <f>IF(Bordero!B71="","",Bordero!E71)</f>
        <v/>
      </c>
      <c r="F70" s="52" t="str">
        <f>IF(Bordero!B71="","",Bordero!F71)</f>
        <v/>
      </c>
      <c r="G70" s="53" t="str">
        <f>IF(Bordero!B71="","",Bordero!I71)</f>
        <v/>
      </c>
      <c r="H70" s="89" t="str">
        <f>IF(Bordero!B71="","",'Import A'!E64)</f>
        <v/>
      </c>
      <c r="I70" s="31" t="str">
        <f>IF(Bordero!G71="","",Bordero!G71)</f>
        <v/>
      </c>
      <c r="J70" s="99" t="str">
        <f>IF(Bordero!H71="","",Bordero!H71)</f>
        <v/>
      </c>
      <c r="K70" s="100" t="str">
        <f>IF(Bordero!K71="","",Bordero!K71)</f>
        <v/>
      </c>
      <c r="L70" s="49" t="str">
        <f t="shared" si="1"/>
        <v/>
      </c>
    </row>
    <row r="71" spans="1:12" ht="15.75">
      <c r="A71" s="51" t="str">
        <f>Bordero!A72</f>
        <v>64</v>
      </c>
      <c r="B71" s="62" t="str">
        <f>IF(Bordero!B72="","",Bordero!B72)</f>
        <v/>
      </c>
      <c r="C71" s="61" t="str">
        <f>IF(Bordero!B72="","",Bordero!C72)</f>
        <v/>
      </c>
      <c r="D71" s="55" t="str">
        <f>IF(Bordero!B72="","",Bordero!D72)</f>
        <v/>
      </c>
      <c r="E71" s="52" t="str">
        <f>IF(Bordero!B72="","",Bordero!E72)</f>
        <v/>
      </c>
      <c r="F71" s="52" t="str">
        <f>IF(Bordero!B72="","",Bordero!F72)</f>
        <v/>
      </c>
      <c r="G71" s="53" t="str">
        <f>IF(Bordero!B72="","",Bordero!I72)</f>
        <v/>
      </c>
      <c r="H71" s="89" t="str">
        <f>IF(Bordero!B72="","",'Import A'!E65)</f>
        <v/>
      </c>
      <c r="I71" s="31" t="str">
        <f>IF(Bordero!G72="","",Bordero!G72)</f>
        <v/>
      </c>
      <c r="J71" s="99" t="str">
        <f>IF(Bordero!H72="","",Bordero!H72)</f>
        <v/>
      </c>
      <c r="K71" s="100" t="str">
        <f>IF(Bordero!K72="","",Bordero!K72)</f>
        <v/>
      </c>
      <c r="L71" s="49" t="str">
        <f t="shared" si="1"/>
        <v/>
      </c>
    </row>
    <row r="72" spans="1:12" ht="15.75">
      <c r="A72" s="51" t="str">
        <f>Bordero!A73</f>
        <v>65</v>
      </c>
      <c r="B72" s="62" t="str">
        <f>IF(Bordero!B73="","",Bordero!B73)</f>
        <v/>
      </c>
      <c r="C72" s="61" t="str">
        <f>IF(Bordero!B73="","",Bordero!C73)</f>
        <v/>
      </c>
      <c r="D72" s="55" t="str">
        <f>IF(Bordero!B73="","",Bordero!D73)</f>
        <v/>
      </c>
      <c r="E72" s="52" t="str">
        <f>IF(Bordero!B73="","",Bordero!E73)</f>
        <v/>
      </c>
      <c r="F72" s="52" t="str">
        <f>IF(Bordero!B73="","",Bordero!F73)</f>
        <v/>
      </c>
      <c r="G72" s="53" t="str">
        <f>IF(Bordero!B73="","",Bordero!I73)</f>
        <v/>
      </c>
      <c r="H72" s="89" t="str">
        <f>IF(Bordero!B73="","",'Import A'!E66)</f>
        <v/>
      </c>
      <c r="I72" s="31" t="str">
        <f>IF(Bordero!G73="","",Bordero!G73)</f>
        <v/>
      </c>
      <c r="J72" s="99" t="str">
        <f>IF(Bordero!H73="","",Bordero!H73)</f>
        <v/>
      </c>
      <c r="K72" s="100" t="str">
        <f>IF(Bordero!K73="","",Bordero!K73)</f>
        <v/>
      </c>
      <c r="L72" s="49" t="str">
        <f t="shared" si="1"/>
        <v/>
      </c>
    </row>
    <row r="73" spans="1:12" ht="15.75">
      <c r="A73" s="51" t="str">
        <f>Bordero!A74</f>
        <v>66</v>
      </c>
      <c r="B73" s="62" t="str">
        <f>IF(Bordero!B74="","",Bordero!B74)</f>
        <v/>
      </c>
      <c r="C73" s="61" t="str">
        <f>IF(Bordero!B74="","",Bordero!C74)</f>
        <v/>
      </c>
      <c r="D73" s="55" t="str">
        <f>IF(Bordero!B74="","",Bordero!D74)</f>
        <v/>
      </c>
      <c r="E73" s="52" t="str">
        <f>IF(Bordero!B74="","",Bordero!E74)</f>
        <v/>
      </c>
      <c r="F73" s="52" t="str">
        <f>IF(Bordero!B74="","",Bordero!F74)</f>
        <v/>
      </c>
      <c r="G73" s="53" t="str">
        <f>IF(Bordero!B74="","",Bordero!I74)</f>
        <v/>
      </c>
      <c r="H73" s="89" t="str">
        <f>IF(Bordero!B74="","",'Import A'!E67)</f>
        <v/>
      </c>
      <c r="I73" s="31" t="str">
        <f>IF(Bordero!G74="","",Bordero!G74)</f>
        <v/>
      </c>
      <c r="J73" s="99" t="str">
        <f>IF(Bordero!H74="","",Bordero!H74)</f>
        <v/>
      </c>
      <c r="K73" s="100" t="str">
        <f>IF(Bordero!K74="","",Bordero!K74)</f>
        <v/>
      </c>
      <c r="L73" s="49" t="str">
        <f t="shared" si="1"/>
        <v/>
      </c>
    </row>
    <row r="74" spans="1:12" ht="15.75">
      <c r="A74" s="51" t="str">
        <f>Bordero!A75</f>
        <v>67</v>
      </c>
      <c r="B74" s="62" t="str">
        <f>IF(Bordero!B75="","",Bordero!B75)</f>
        <v/>
      </c>
      <c r="C74" s="61" t="str">
        <f>IF(Bordero!B75="","",Bordero!C75)</f>
        <v/>
      </c>
      <c r="D74" s="55" t="str">
        <f>IF(Bordero!B75="","",Bordero!D75)</f>
        <v/>
      </c>
      <c r="E74" s="52" t="str">
        <f>IF(Bordero!B75="","",Bordero!E75)</f>
        <v/>
      </c>
      <c r="F74" s="52" t="str">
        <f>IF(Bordero!B75="","",Bordero!F75)</f>
        <v/>
      </c>
      <c r="G74" s="53" t="str">
        <f>IF(Bordero!B75="","",Bordero!I75)</f>
        <v/>
      </c>
      <c r="H74" s="89" t="str">
        <f>IF(Bordero!B75="","",'Import A'!E68)</f>
        <v/>
      </c>
      <c r="I74" s="31" t="str">
        <f>IF(Bordero!G75="","",Bordero!G75)</f>
        <v/>
      </c>
      <c r="J74" s="99" t="str">
        <f>IF(Bordero!H75="","",Bordero!H75)</f>
        <v/>
      </c>
      <c r="K74" s="100" t="str">
        <f>IF(Bordero!K75="","",Bordero!K75)</f>
        <v/>
      </c>
      <c r="L74" s="49" t="str">
        <f t="shared" si="1"/>
        <v/>
      </c>
    </row>
    <row r="75" spans="1:12" ht="15.75">
      <c r="A75" s="51" t="str">
        <f>Bordero!A76</f>
        <v>68</v>
      </c>
      <c r="B75" s="62" t="str">
        <f>IF(Bordero!B76="","",Bordero!B76)</f>
        <v/>
      </c>
      <c r="C75" s="61" t="str">
        <f>IF(Bordero!B76="","",Bordero!C76)</f>
        <v/>
      </c>
      <c r="D75" s="55" t="str">
        <f>IF(Bordero!B76="","",Bordero!D76)</f>
        <v/>
      </c>
      <c r="E75" s="52" t="str">
        <f>IF(Bordero!B76="","",Bordero!E76)</f>
        <v/>
      </c>
      <c r="F75" s="52" t="str">
        <f>IF(Bordero!B76="","",Bordero!F76)</f>
        <v/>
      </c>
      <c r="G75" s="53" t="str">
        <f>IF(Bordero!B76="","",Bordero!I76)</f>
        <v/>
      </c>
      <c r="H75" s="89" t="str">
        <f>IF(Bordero!B76="","",'Import A'!E69)</f>
        <v/>
      </c>
      <c r="I75" s="31" t="str">
        <f>IF(Bordero!G76="","",Bordero!G76)</f>
        <v/>
      </c>
      <c r="J75" s="99" t="str">
        <f>IF(Bordero!H76="","",Bordero!H76)</f>
        <v/>
      </c>
      <c r="K75" s="100" t="str">
        <f>IF(Bordero!K76="","",Bordero!K76)</f>
        <v/>
      </c>
      <c r="L75" s="49" t="str">
        <f t="shared" si="1"/>
        <v/>
      </c>
    </row>
    <row r="76" spans="1:12" ht="15.75">
      <c r="A76" s="51" t="str">
        <f>Bordero!A77</f>
        <v>69</v>
      </c>
      <c r="B76" s="62" t="str">
        <f>IF(Bordero!B77="","",Bordero!B77)</f>
        <v/>
      </c>
      <c r="C76" s="61" t="str">
        <f>IF(Bordero!B77="","",Bordero!C77)</f>
        <v/>
      </c>
      <c r="D76" s="55" t="str">
        <f>IF(Bordero!B77="","",Bordero!D77)</f>
        <v/>
      </c>
      <c r="E76" s="52" t="str">
        <f>IF(Bordero!B77="","",Bordero!E77)</f>
        <v/>
      </c>
      <c r="F76" s="52" t="str">
        <f>IF(Bordero!B77="","",Bordero!F77)</f>
        <v/>
      </c>
      <c r="G76" s="53" t="str">
        <f>IF(Bordero!B77="","",Bordero!I77)</f>
        <v/>
      </c>
      <c r="H76" s="89" t="str">
        <f>IF(Bordero!B77="","",'Import A'!E70)</f>
        <v/>
      </c>
      <c r="I76" s="31" t="str">
        <f>IF(Bordero!G77="","",Bordero!G77)</f>
        <v/>
      </c>
      <c r="J76" s="99" t="str">
        <f>IF(Bordero!H77="","",Bordero!H77)</f>
        <v/>
      </c>
      <c r="K76" s="100" t="str">
        <f>IF(Bordero!K77="","",Bordero!K77)</f>
        <v/>
      </c>
      <c r="L76" s="49" t="str">
        <f t="shared" si="1"/>
        <v/>
      </c>
    </row>
    <row r="77" spans="1:12" ht="15.75">
      <c r="A77" s="51" t="str">
        <f>Bordero!A78</f>
        <v>70</v>
      </c>
      <c r="B77" s="62" t="str">
        <f>IF(Bordero!B78="","",Bordero!B78)</f>
        <v/>
      </c>
      <c r="C77" s="61" t="str">
        <f>IF(Bordero!B78="","",Bordero!C78)</f>
        <v/>
      </c>
      <c r="D77" s="55" t="str">
        <f>IF(Bordero!B78="","",Bordero!D78)</f>
        <v/>
      </c>
      <c r="E77" s="52" t="str">
        <f>IF(Bordero!B78="","",Bordero!E78)</f>
        <v/>
      </c>
      <c r="F77" s="52" t="str">
        <f>IF(Bordero!B78="","",Bordero!F78)</f>
        <v/>
      </c>
      <c r="G77" s="53" t="str">
        <f>IF(Bordero!B78="","",Bordero!I78)</f>
        <v/>
      </c>
      <c r="H77" s="89" t="str">
        <f>IF(Bordero!B78="","",'Import A'!E71)</f>
        <v/>
      </c>
      <c r="I77" s="31" t="str">
        <f>IF(Bordero!G78="","",Bordero!G78)</f>
        <v/>
      </c>
      <c r="J77" s="99" t="str">
        <f>IF(Bordero!H78="","",Bordero!H78)</f>
        <v/>
      </c>
      <c r="K77" s="100" t="str">
        <f>IF(Bordero!K78="","",Bordero!K78)</f>
        <v/>
      </c>
      <c r="L77" s="49" t="str">
        <f t="shared" si="1"/>
        <v/>
      </c>
    </row>
    <row r="78" spans="1:12" ht="15.75">
      <c r="A78" s="51" t="str">
        <f>Bordero!A79</f>
        <v>71</v>
      </c>
      <c r="B78" s="62" t="str">
        <f>IF(Bordero!B79="","",Bordero!B79)</f>
        <v/>
      </c>
      <c r="C78" s="61" t="str">
        <f>IF(Bordero!B79="","",Bordero!C79)</f>
        <v/>
      </c>
      <c r="D78" s="55" t="str">
        <f>IF(Bordero!B79="","",Bordero!D79)</f>
        <v/>
      </c>
      <c r="E78" s="52" t="str">
        <f>IF(Bordero!B79="","",Bordero!E79)</f>
        <v/>
      </c>
      <c r="F78" s="52" t="str">
        <f>IF(Bordero!B79="","",Bordero!F79)</f>
        <v/>
      </c>
      <c r="G78" s="53" t="str">
        <f>IF(Bordero!B79="","",Bordero!I79)</f>
        <v/>
      </c>
      <c r="H78" s="89" t="str">
        <f>IF(Bordero!B79="","",'Import A'!E72)</f>
        <v/>
      </c>
      <c r="I78" s="31" t="str">
        <f>IF(Bordero!G79="","",Bordero!G79)</f>
        <v/>
      </c>
      <c r="J78" s="99" t="str">
        <f>IF(Bordero!H79="","",Bordero!H79)</f>
        <v/>
      </c>
      <c r="K78" s="100" t="str">
        <f>IF(Bordero!K79="","",Bordero!K79)</f>
        <v/>
      </c>
      <c r="L78" s="49" t="str">
        <f t="shared" si="1"/>
        <v/>
      </c>
    </row>
    <row r="79" spans="1:12" ht="15.75">
      <c r="A79" s="51" t="str">
        <f>Bordero!A80</f>
        <v>72</v>
      </c>
      <c r="B79" s="62" t="str">
        <f>IF(Bordero!B80="","",Bordero!B80)</f>
        <v/>
      </c>
      <c r="C79" s="61" t="str">
        <f>IF(Bordero!B80="","",Bordero!C80)</f>
        <v/>
      </c>
      <c r="D79" s="55" t="str">
        <f>IF(Bordero!B80="","",Bordero!D80)</f>
        <v/>
      </c>
      <c r="E79" s="52" t="str">
        <f>IF(Bordero!B80="","",Bordero!E80)</f>
        <v/>
      </c>
      <c r="F79" s="52" t="str">
        <f>IF(Bordero!B80="","",Bordero!F80)</f>
        <v/>
      </c>
      <c r="G79" s="53" t="str">
        <f>IF(Bordero!B80="","",Bordero!I80)</f>
        <v/>
      </c>
      <c r="H79" s="89" t="str">
        <f>IF(Bordero!B80="","",'Import A'!E73)</f>
        <v/>
      </c>
      <c r="I79" s="31" t="str">
        <f>IF(Bordero!G80="","",Bordero!G80)</f>
        <v/>
      </c>
      <c r="J79" s="99" t="str">
        <f>IF(Bordero!H80="","",Bordero!H80)</f>
        <v/>
      </c>
      <c r="K79" s="100" t="str">
        <f>IF(Bordero!K80="","",Bordero!K80)</f>
        <v/>
      </c>
      <c r="L79" s="49" t="str">
        <f t="shared" si="1"/>
        <v/>
      </c>
    </row>
    <row r="80" spans="1:12" ht="15.75">
      <c r="A80" s="51" t="str">
        <f>Bordero!A81</f>
        <v>73</v>
      </c>
      <c r="B80" s="62" t="str">
        <f>IF(Bordero!B81="","",Bordero!B81)</f>
        <v/>
      </c>
      <c r="C80" s="61" t="str">
        <f>IF(Bordero!B81="","",Bordero!C81)</f>
        <v/>
      </c>
      <c r="D80" s="55" t="str">
        <f>IF(Bordero!B81="","",Bordero!D81)</f>
        <v/>
      </c>
      <c r="E80" s="52" t="str">
        <f>IF(Bordero!B81="","",Bordero!E81)</f>
        <v/>
      </c>
      <c r="F80" s="52" t="str">
        <f>IF(Bordero!B81="","",Bordero!F81)</f>
        <v/>
      </c>
      <c r="G80" s="53" t="str">
        <f>IF(Bordero!B81="","",Bordero!I81)</f>
        <v/>
      </c>
      <c r="H80" s="89" t="str">
        <f>IF(Bordero!B81="","",'Import A'!E74)</f>
        <v/>
      </c>
      <c r="I80" s="31" t="str">
        <f>IF(Bordero!G81="","",Bordero!G81)</f>
        <v/>
      </c>
      <c r="J80" s="99" t="str">
        <f>IF(Bordero!H81="","",Bordero!H81)</f>
        <v/>
      </c>
      <c r="K80" s="100" t="str">
        <f>IF(Bordero!K81="","",Bordero!K81)</f>
        <v/>
      </c>
      <c r="L80" s="49" t="str">
        <f t="shared" si="1"/>
        <v/>
      </c>
    </row>
    <row r="81" spans="1:12" ht="15.75">
      <c r="A81" s="51" t="str">
        <f>Bordero!A82</f>
        <v>74</v>
      </c>
      <c r="B81" s="62" t="str">
        <f>IF(Bordero!B82="","",Bordero!B82)</f>
        <v/>
      </c>
      <c r="C81" s="61" t="str">
        <f>IF(Bordero!B82="","",Bordero!C82)</f>
        <v/>
      </c>
      <c r="D81" s="55" t="str">
        <f>IF(Bordero!B82="","",Bordero!D82)</f>
        <v/>
      </c>
      <c r="E81" s="52" t="str">
        <f>IF(Bordero!B82="","",Bordero!E82)</f>
        <v/>
      </c>
      <c r="F81" s="52" t="str">
        <f>IF(Bordero!B82="","",Bordero!F82)</f>
        <v/>
      </c>
      <c r="G81" s="53" t="str">
        <f>IF(Bordero!B82="","",Bordero!I82)</f>
        <v/>
      </c>
      <c r="H81" s="89" t="str">
        <f>IF(Bordero!B82="","",'Import A'!E75)</f>
        <v/>
      </c>
      <c r="I81" s="31" t="str">
        <f>IF(Bordero!G82="","",Bordero!G82)</f>
        <v/>
      </c>
      <c r="J81" s="99" t="str">
        <f>IF(Bordero!H82="","",Bordero!H82)</f>
        <v/>
      </c>
      <c r="K81" s="100" t="str">
        <f>IF(Bordero!K82="","",Bordero!K82)</f>
        <v/>
      </c>
      <c r="L81" s="49" t="str">
        <f t="shared" si="1"/>
        <v/>
      </c>
    </row>
    <row r="82" spans="1:12" ht="15.75">
      <c r="A82" s="51" t="str">
        <f>Bordero!A83</f>
        <v>75</v>
      </c>
      <c r="B82" s="62" t="str">
        <f>IF(Bordero!B83="","",Bordero!B83)</f>
        <v/>
      </c>
      <c r="C82" s="61" t="str">
        <f>IF(Bordero!B83="","",Bordero!C83)</f>
        <v/>
      </c>
      <c r="D82" s="55" t="str">
        <f>IF(Bordero!B83="","",Bordero!D83)</f>
        <v/>
      </c>
      <c r="E82" s="52" t="str">
        <f>IF(Bordero!B83="","",Bordero!E83)</f>
        <v/>
      </c>
      <c r="F82" s="52" t="str">
        <f>IF(Bordero!B83="","",Bordero!F83)</f>
        <v/>
      </c>
      <c r="G82" s="53" t="str">
        <f>IF(Bordero!B83="","",Bordero!I83)</f>
        <v/>
      </c>
      <c r="H82" s="89" t="str">
        <f>IF(Bordero!B83="","",'Import A'!E76)</f>
        <v/>
      </c>
      <c r="I82" s="31" t="str">
        <f>IF(Bordero!G83="","",Bordero!G83)</f>
        <v/>
      </c>
      <c r="J82" s="99" t="str">
        <f>IF(Bordero!H83="","",Bordero!H83)</f>
        <v/>
      </c>
      <c r="K82" s="100" t="str">
        <f>IF(Bordero!K83="","",Bordero!K83)</f>
        <v/>
      </c>
      <c r="L82" s="49" t="str">
        <f t="shared" si="1"/>
        <v/>
      </c>
    </row>
    <row r="83" spans="1:12" ht="15.75">
      <c r="A83" s="51" t="str">
        <f>Bordero!A84</f>
        <v>76</v>
      </c>
      <c r="B83" s="62" t="str">
        <f>IF(Bordero!B84="","",Bordero!B84)</f>
        <v/>
      </c>
      <c r="C83" s="61" t="str">
        <f>IF(Bordero!B84="","",Bordero!C84)</f>
        <v/>
      </c>
      <c r="D83" s="55" t="str">
        <f>IF(Bordero!B84="","",Bordero!D84)</f>
        <v/>
      </c>
      <c r="E83" s="52" t="str">
        <f>IF(Bordero!B84="","",Bordero!E84)</f>
        <v/>
      </c>
      <c r="F83" s="52" t="str">
        <f>IF(Bordero!B84="","",Bordero!F84)</f>
        <v/>
      </c>
      <c r="G83" s="53" t="str">
        <f>IF(Bordero!B84="","",Bordero!I84)</f>
        <v/>
      </c>
      <c r="H83" s="89" t="str">
        <f>IF(Bordero!B84="","",'Import A'!E77)</f>
        <v/>
      </c>
      <c r="I83" s="31" t="str">
        <f>IF(Bordero!G84="","",Bordero!G84)</f>
        <v/>
      </c>
      <c r="J83" s="99" t="str">
        <f>IF(Bordero!H84="","",Bordero!H84)</f>
        <v/>
      </c>
      <c r="K83" s="100" t="str">
        <f>IF(Bordero!K84="","",Bordero!K84)</f>
        <v/>
      </c>
      <c r="L83" s="49" t="str">
        <f t="shared" si="1"/>
        <v/>
      </c>
    </row>
    <row r="84" spans="1:12" ht="15.75">
      <c r="A84" s="51" t="str">
        <f>Bordero!A85</f>
        <v>77</v>
      </c>
      <c r="B84" s="62" t="str">
        <f>IF(Bordero!B85="","",Bordero!B85)</f>
        <v/>
      </c>
      <c r="C84" s="61" t="str">
        <f>IF(Bordero!B85="","",Bordero!C85)</f>
        <v/>
      </c>
      <c r="D84" s="55" t="str">
        <f>IF(Bordero!B85="","",Bordero!D85)</f>
        <v/>
      </c>
      <c r="E84" s="52" t="str">
        <f>IF(Bordero!B85="","",Bordero!E85)</f>
        <v/>
      </c>
      <c r="F84" s="52" t="str">
        <f>IF(Bordero!B85="","",Bordero!F85)</f>
        <v/>
      </c>
      <c r="G84" s="53" t="str">
        <f>IF(Bordero!B85="","",Bordero!I85)</f>
        <v/>
      </c>
      <c r="H84" s="89" t="str">
        <f>IF(Bordero!B85="","",'Import A'!E78)</f>
        <v/>
      </c>
      <c r="I84" s="31" t="str">
        <f>IF(Bordero!G85="","",Bordero!G85)</f>
        <v/>
      </c>
      <c r="J84" s="99" t="str">
        <f>IF(Bordero!H85="","",Bordero!H85)</f>
        <v/>
      </c>
      <c r="K84" s="100" t="str">
        <f>IF(Bordero!K85="","",Bordero!K85)</f>
        <v/>
      </c>
      <c r="L84" s="49" t="str">
        <f t="shared" si="1"/>
        <v/>
      </c>
    </row>
    <row r="85" spans="1:12" ht="15.75">
      <c r="A85" s="51" t="str">
        <f>Bordero!A86</f>
        <v>78</v>
      </c>
      <c r="B85" s="62" t="str">
        <f>IF(Bordero!B86="","",Bordero!B86)</f>
        <v/>
      </c>
      <c r="C85" s="61" t="str">
        <f>IF(Bordero!B86="","",Bordero!C86)</f>
        <v/>
      </c>
      <c r="D85" s="55" t="str">
        <f>IF(Bordero!B86="","",Bordero!D86)</f>
        <v/>
      </c>
      <c r="E85" s="52" t="str">
        <f>IF(Bordero!B86="","",Bordero!E86)</f>
        <v/>
      </c>
      <c r="F85" s="52" t="str">
        <f>IF(Bordero!B86="","",Bordero!F86)</f>
        <v/>
      </c>
      <c r="G85" s="53" t="str">
        <f>IF(Bordero!B86="","",Bordero!I86)</f>
        <v/>
      </c>
      <c r="H85" s="89" t="str">
        <f>IF(Bordero!B86="","",'Import A'!E79)</f>
        <v/>
      </c>
      <c r="I85" s="31" t="str">
        <f>IF(Bordero!G86="","",Bordero!G86)</f>
        <v/>
      </c>
      <c r="J85" s="99" t="str">
        <f>IF(Bordero!H86="","",Bordero!H86)</f>
        <v/>
      </c>
      <c r="K85" s="100" t="str">
        <f>IF(Bordero!K86="","",Bordero!K86)</f>
        <v/>
      </c>
      <c r="L85" s="49" t="str">
        <f t="shared" si="1"/>
        <v/>
      </c>
    </row>
    <row r="86" spans="1:12" ht="15.75">
      <c r="A86" s="51" t="str">
        <f>Bordero!A87</f>
        <v>79</v>
      </c>
      <c r="B86" s="62" t="str">
        <f>IF(Bordero!B87="","",Bordero!B87)</f>
        <v/>
      </c>
      <c r="C86" s="61" t="str">
        <f>IF(Bordero!B87="","",Bordero!C87)</f>
        <v/>
      </c>
      <c r="D86" s="55" t="str">
        <f>IF(Bordero!B87="","",Bordero!D87)</f>
        <v/>
      </c>
      <c r="E86" s="52" t="str">
        <f>IF(Bordero!B87="","",Bordero!E87)</f>
        <v/>
      </c>
      <c r="F86" s="52" t="str">
        <f>IF(Bordero!B87="","",Bordero!F87)</f>
        <v/>
      </c>
      <c r="G86" s="53" t="str">
        <f>IF(Bordero!B87="","",Bordero!I87)</f>
        <v/>
      </c>
      <c r="H86" s="89" t="str">
        <f>IF(Bordero!B87="","",'Import A'!E80)</f>
        <v/>
      </c>
      <c r="I86" s="31" t="str">
        <f>IF(Bordero!G87="","",Bordero!G87)</f>
        <v/>
      </c>
      <c r="J86" s="99" t="str">
        <f>IF(Bordero!H87="","",Bordero!H87)</f>
        <v/>
      </c>
      <c r="K86" s="100" t="str">
        <f>IF(Bordero!K87="","",Bordero!K87)</f>
        <v/>
      </c>
      <c r="L86" s="49" t="str">
        <f t="shared" si="1"/>
        <v/>
      </c>
    </row>
    <row r="87" spans="1:12" ht="15.75">
      <c r="A87" s="51" t="str">
        <f>Bordero!A88</f>
        <v>80</v>
      </c>
      <c r="B87" s="62" t="str">
        <f>IF(Bordero!B88="","",Bordero!B88)</f>
        <v/>
      </c>
      <c r="C87" s="61" t="str">
        <f>IF(Bordero!B88="","",Bordero!C88)</f>
        <v/>
      </c>
      <c r="D87" s="55" t="str">
        <f>IF(Bordero!B88="","",Bordero!D88)</f>
        <v/>
      </c>
      <c r="E87" s="52" t="str">
        <f>IF(Bordero!B88="","",Bordero!E88)</f>
        <v/>
      </c>
      <c r="F87" s="52" t="str">
        <f>IF(Bordero!B88="","",Bordero!F88)</f>
        <v/>
      </c>
      <c r="G87" s="53" t="str">
        <f>IF(Bordero!B88="","",Bordero!I88)</f>
        <v/>
      </c>
      <c r="H87" s="89" t="str">
        <f>IF(Bordero!B88="","",'Import A'!E81)</f>
        <v/>
      </c>
      <c r="I87" s="31" t="str">
        <f>IF(Bordero!G88="","",Bordero!G88)</f>
        <v/>
      </c>
      <c r="J87" s="99" t="str">
        <f>IF(Bordero!H88="","",Bordero!H88)</f>
        <v/>
      </c>
      <c r="K87" s="100" t="str">
        <f>IF(Bordero!K88="","",Bordero!K88)</f>
        <v/>
      </c>
      <c r="L87" s="49" t="str">
        <f t="shared" si="1"/>
        <v/>
      </c>
    </row>
    <row r="88" spans="1:12" ht="15.75">
      <c r="A88" s="51" t="str">
        <f>Bordero!A89</f>
        <v>81</v>
      </c>
      <c r="B88" s="62" t="str">
        <f>IF(Bordero!B89="","",Bordero!B89)</f>
        <v/>
      </c>
      <c r="C88" s="61" t="str">
        <f>IF(Bordero!B89="","",Bordero!C89)</f>
        <v/>
      </c>
      <c r="D88" s="55" t="str">
        <f>IF(Bordero!B89="","",Bordero!D89)</f>
        <v/>
      </c>
      <c r="E88" s="52" t="str">
        <f>IF(Bordero!B89="","",Bordero!E89)</f>
        <v/>
      </c>
      <c r="F88" s="52" t="str">
        <f>IF(Bordero!B89="","",Bordero!F89)</f>
        <v/>
      </c>
      <c r="G88" s="53" t="str">
        <f>IF(Bordero!B89="","",Bordero!I89)</f>
        <v/>
      </c>
      <c r="H88" s="89" t="str">
        <f>IF(Bordero!B89="","",'Import A'!E82)</f>
        <v/>
      </c>
      <c r="I88" s="31" t="str">
        <f>IF(Bordero!G89="","",Bordero!G89)</f>
        <v/>
      </c>
      <c r="J88" s="99" t="str">
        <f>IF(Bordero!H89="","",Bordero!H89)</f>
        <v/>
      </c>
      <c r="K88" s="100" t="str">
        <f>IF(Bordero!K89="","",Bordero!K89)</f>
        <v/>
      </c>
      <c r="L88" s="49" t="str">
        <f t="shared" si="1"/>
        <v/>
      </c>
    </row>
    <row r="89" spans="1:12" ht="15.75">
      <c r="A89" s="51" t="str">
        <f>Bordero!A90</f>
        <v>82</v>
      </c>
      <c r="B89" s="62" t="str">
        <f>IF(Bordero!B90="","",Bordero!B90)</f>
        <v/>
      </c>
      <c r="C89" s="61" t="str">
        <f>IF(Bordero!B90="","",Bordero!C90)</f>
        <v/>
      </c>
      <c r="D89" s="55" t="str">
        <f>IF(Bordero!B90="","",Bordero!D90)</f>
        <v/>
      </c>
      <c r="E89" s="52" t="str">
        <f>IF(Bordero!B90="","",Bordero!E90)</f>
        <v/>
      </c>
      <c r="F89" s="52" t="str">
        <f>IF(Bordero!B90="","",Bordero!F90)</f>
        <v/>
      </c>
      <c r="G89" s="53" t="str">
        <f>IF(Bordero!B90="","",Bordero!I90)</f>
        <v/>
      </c>
      <c r="H89" s="89" t="str">
        <f>IF(Bordero!B90="","",'Import A'!E83)</f>
        <v/>
      </c>
      <c r="I89" s="31" t="str">
        <f>IF(Bordero!G90="","",Bordero!G90)</f>
        <v/>
      </c>
      <c r="J89" s="99" t="str">
        <f>IF(Bordero!H90="","",Bordero!H90)</f>
        <v/>
      </c>
      <c r="K89" s="100" t="str">
        <f>IF(Bordero!K90="","",Bordero!K90)</f>
        <v/>
      </c>
      <c r="L89" s="49" t="str">
        <f t="shared" si="1"/>
        <v/>
      </c>
    </row>
    <row r="90" spans="1:12" ht="15.75">
      <c r="A90" s="51" t="str">
        <f>Bordero!A91</f>
        <v>83</v>
      </c>
      <c r="B90" s="62" t="str">
        <f>IF(Bordero!B91="","",Bordero!B91)</f>
        <v/>
      </c>
      <c r="C90" s="61" t="str">
        <f>IF(Bordero!B91="","",Bordero!C91)</f>
        <v/>
      </c>
      <c r="D90" s="55" t="str">
        <f>IF(Bordero!B91="","",Bordero!D91)</f>
        <v/>
      </c>
      <c r="E90" s="52" t="str">
        <f>IF(Bordero!B91="","",Bordero!E91)</f>
        <v/>
      </c>
      <c r="F90" s="52" t="str">
        <f>IF(Bordero!B91="","",Bordero!F91)</f>
        <v/>
      </c>
      <c r="G90" s="53" t="str">
        <f>IF(Bordero!B91="","",Bordero!I91)</f>
        <v/>
      </c>
      <c r="H90" s="89" t="str">
        <f>IF(Bordero!B91="","",'Import A'!E84)</f>
        <v/>
      </c>
      <c r="I90" s="31" t="str">
        <f>IF(Bordero!G91="","",Bordero!G91)</f>
        <v/>
      </c>
      <c r="J90" s="99" t="str">
        <f>IF(Bordero!H91="","",Bordero!H91)</f>
        <v/>
      </c>
      <c r="K90" s="100" t="str">
        <f>IF(Bordero!K91="","",Bordero!K91)</f>
        <v/>
      </c>
      <c r="L90" s="49" t="str">
        <f t="shared" si="1"/>
        <v/>
      </c>
    </row>
    <row r="91" spans="1:12" ht="15.75">
      <c r="A91" s="51" t="str">
        <f>Bordero!A92</f>
        <v>84</v>
      </c>
      <c r="B91" s="62" t="str">
        <f>IF(Bordero!B92="","",Bordero!B92)</f>
        <v/>
      </c>
      <c r="C91" s="61" t="str">
        <f>IF(Bordero!B92="","",Bordero!C92)</f>
        <v/>
      </c>
      <c r="D91" s="55" t="str">
        <f>IF(Bordero!B92="","",Bordero!D92)</f>
        <v/>
      </c>
      <c r="E91" s="52" t="str">
        <f>IF(Bordero!B92="","",Bordero!E92)</f>
        <v/>
      </c>
      <c r="F91" s="52" t="str">
        <f>IF(Bordero!B92="","",Bordero!F92)</f>
        <v/>
      </c>
      <c r="G91" s="53" t="str">
        <f>IF(Bordero!B92="","",Bordero!I92)</f>
        <v/>
      </c>
      <c r="H91" s="89" t="str">
        <f>IF(Bordero!B92="","",'Import A'!E85)</f>
        <v/>
      </c>
      <c r="I91" s="31" t="str">
        <f>IF(Bordero!G92="","",Bordero!G92)</f>
        <v/>
      </c>
      <c r="J91" s="99" t="str">
        <f>IF(Bordero!H92="","",Bordero!H92)</f>
        <v/>
      </c>
      <c r="K91" s="100" t="str">
        <f>IF(Bordero!K92="","",Bordero!K92)</f>
        <v/>
      </c>
      <c r="L91" s="49" t="str">
        <f t="shared" si="1"/>
        <v/>
      </c>
    </row>
    <row r="92" spans="1:12" ht="15.75">
      <c r="A92" s="51" t="str">
        <f>Bordero!A93</f>
        <v>85</v>
      </c>
      <c r="B92" s="62" t="str">
        <f>IF(Bordero!B93="","",Bordero!B93)</f>
        <v/>
      </c>
      <c r="C92" s="61" t="str">
        <f>IF(Bordero!B93="","",Bordero!C93)</f>
        <v/>
      </c>
      <c r="D92" s="55" t="str">
        <f>IF(Bordero!B93="","",Bordero!D93)</f>
        <v/>
      </c>
      <c r="E92" s="52" t="str">
        <f>IF(Bordero!B93="","",Bordero!E93)</f>
        <v/>
      </c>
      <c r="F92" s="52" t="str">
        <f>IF(Bordero!B93="","",Bordero!F93)</f>
        <v/>
      </c>
      <c r="G92" s="53" t="str">
        <f>IF(Bordero!B93="","",Bordero!I93)</f>
        <v/>
      </c>
      <c r="H92" s="89" t="str">
        <f>IF(Bordero!B93="","",'Import A'!E86)</f>
        <v/>
      </c>
      <c r="I92" s="31" t="str">
        <f>IF(Bordero!G93="","",Bordero!G93)</f>
        <v/>
      </c>
      <c r="J92" s="99" t="str">
        <f>IF(Bordero!H93="","",Bordero!H93)</f>
        <v/>
      </c>
      <c r="K92" s="100" t="str">
        <f>IF(Bordero!K93="","",Bordero!K93)</f>
        <v/>
      </c>
      <c r="L92" s="49" t="str">
        <f t="shared" si="1"/>
        <v/>
      </c>
    </row>
    <row r="93" spans="1:12" ht="15.75">
      <c r="A93" s="51" t="str">
        <f>Bordero!A94</f>
        <v>86</v>
      </c>
      <c r="B93" s="62" t="str">
        <f>IF(Bordero!B94="","",Bordero!B94)</f>
        <v/>
      </c>
      <c r="C93" s="61" t="str">
        <f>IF(Bordero!B94="","",Bordero!C94)</f>
        <v/>
      </c>
      <c r="D93" s="55" t="str">
        <f>IF(Bordero!B94="","",Bordero!D94)</f>
        <v/>
      </c>
      <c r="E93" s="52" t="str">
        <f>IF(Bordero!B94="","",Bordero!E94)</f>
        <v/>
      </c>
      <c r="F93" s="52" t="str">
        <f>IF(Bordero!B94="","",Bordero!F94)</f>
        <v/>
      </c>
      <c r="G93" s="53" t="str">
        <f>IF(Bordero!B94="","",Bordero!I94)</f>
        <v/>
      </c>
      <c r="H93" s="89" t="str">
        <f>IF(Bordero!B94="","",'Import A'!E87)</f>
        <v/>
      </c>
      <c r="I93" s="31" t="str">
        <f>IF(Bordero!G94="","",Bordero!G94)</f>
        <v/>
      </c>
      <c r="J93" s="99" t="str">
        <f>IF(Bordero!H94="","",Bordero!H94)</f>
        <v/>
      </c>
      <c r="K93" s="100" t="str">
        <f>IF(Bordero!K94="","",Bordero!K94)</f>
        <v/>
      </c>
      <c r="L93" s="49" t="str">
        <f t="shared" si="1"/>
        <v/>
      </c>
    </row>
    <row r="94" spans="1:12" ht="15.75">
      <c r="A94" s="51" t="str">
        <f>Bordero!A95</f>
        <v>87</v>
      </c>
      <c r="B94" s="62" t="str">
        <f>IF(Bordero!B95="","",Bordero!B95)</f>
        <v/>
      </c>
      <c r="C94" s="61" t="str">
        <f>IF(Bordero!B95="","",Bordero!C95)</f>
        <v/>
      </c>
      <c r="D94" s="55" t="str">
        <f>IF(Bordero!B95="","",Bordero!D95)</f>
        <v/>
      </c>
      <c r="E94" s="52" t="str">
        <f>IF(Bordero!B95="","",Bordero!E95)</f>
        <v/>
      </c>
      <c r="F94" s="52" t="str">
        <f>IF(Bordero!B95="","",Bordero!F95)</f>
        <v/>
      </c>
      <c r="G94" s="53" t="str">
        <f>IF(Bordero!B95="","",Bordero!I95)</f>
        <v/>
      </c>
      <c r="H94" s="89" t="str">
        <f>IF(Bordero!B95="","",'Import A'!E88)</f>
        <v/>
      </c>
      <c r="I94" s="31" t="str">
        <f>IF(Bordero!G95="","",Bordero!G95)</f>
        <v/>
      </c>
      <c r="J94" s="99" t="str">
        <f>IF(Bordero!H95="","",Bordero!H95)</f>
        <v/>
      </c>
      <c r="K94" s="100" t="str">
        <f>IF(Bordero!K95="","",Bordero!K95)</f>
        <v/>
      </c>
      <c r="L94" s="49" t="str">
        <f t="shared" si="1"/>
        <v/>
      </c>
    </row>
    <row r="95" spans="1:12" ht="15.75">
      <c r="A95" s="51" t="str">
        <f>Bordero!A96</f>
        <v>88</v>
      </c>
      <c r="B95" s="62" t="str">
        <f>IF(Bordero!B96="","",Bordero!B96)</f>
        <v/>
      </c>
      <c r="C95" s="61" t="str">
        <f>IF(Bordero!B96="","",Bordero!C96)</f>
        <v/>
      </c>
      <c r="D95" s="55" t="str">
        <f>IF(Bordero!B96="","",Bordero!D96)</f>
        <v/>
      </c>
      <c r="E95" s="52" t="str">
        <f>IF(Bordero!B96="","",Bordero!E96)</f>
        <v/>
      </c>
      <c r="F95" s="52" t="str">
        <f>IF(Bordero!B96="","",Bordero!F96)</f>
        <v/>
      </c>
      <c r="G95" s="53" t="str">
        <f>IF(Bordero!B96="","",Bordero!I96)</f>
        <v/>
      </c>
      <c r="H95" s="89" t="str">
        <f>IF(Bordero!B96="","",'Import A'!E89)</f>
        <v/>
      </c>
      <c r="I95" s="31" t="str">
        <f>IF(Bordero!G96="","",Bordero!G96)</f>
        <v/>
      </c>
      <c r="J95" s="99" t="str">
        <f>IF(Bordero!H96="","",Bordero!H96)</f>
        <v/>
      </c>
      <c r="K95" s="100" t="str">
        <f>IF(Bordero!K96="","",Bordero!K96)</f>
        <v/>
      </c>
      <c r="L95" s="49" t="str">
        <f t="shared" si="1"/>
        <v/>
      </c>
    </row>
    <row r="96" spans="1:12" ht="15.75">
      <c r="A96" s="51" t="str">
        <f>Bordero!A97</f>
        <v>89</v>
      </c>
      <c r="B96" s="62" t="str">
        <f>IF(Bordero!B97="","",Bordero!B97)</f>
        <v/>
      </c>
      <c r="C96" s="61" t="str">
        <f>IF(Bordero!B97="","",Bordero!C97)</f>
        <v/>
      </c>
      <c r="D96" s="55" t="str">
        <f>IF(Bordero!B97="","",Bordero!D97)</f>
        <v/>
      </c>
      <c r="E96" s="52" t="str">
        <f>IF(Bordero!B97="","",Bordero!E97)</f>
        <v/>
      </c>
      <c r="F96" s="52" t="str">
        <f>IF(Bordero!B97="","",Bordero!F97)</f>
        <v/>
      </c>
      <c r="G96" s="53" t="str">
        <f>IF(Bordero!B97="","",Bordero!I97)</f>
        <v/>
      </c>
      <c r="H96" s="89" t="str">
        <f>IF(Bordero!B97="","",'Import A'!E90)</f>
        <v/>
      </c>
      <c r="I96" s="31" t="str">
        <f>IF(Bordero!G97="","",Bordero!G97)</f>
        <v/>
      </c>
      <c r="J96" s="99" t="str">
        <f>IF(Bordero!H97="","",Bordero!H97)</f>
        <v/>
      </c>
      <c r="K96" s="100" t="str">
        <f>IF(Bordero!K97="","",Bordero!K97)</f>
        <v/>
      </c>
      <c r="L96" s="49" t="str">
        <f t="shared" si="1"/>
        <v/>
      </c>
    </row>
    <row r="97" spans="1:12" ht="15.75">
      <c r="A97" s="51" t="str">
        <f>Bordero!A98</f>
        <v>90</v>
      </c>
      <c r="B97" s="62" t="str">
        <f>IF(Bordero!B98="","",Bordero!B98)</f>
        <v/>
      </c>
      <c r="C97" s="61" t="str">
        <f>IF(Bordero!B98="","",Bordero!C98)</f>
        <v/>
      </c>
      <c r="D97" s="55" t="str">
        <f>IF(Bordero!B98="","",Bordero!D98)</f>
        <v/>
      </c>
      <c r="E97" s="52" t="str">
        <f>IF(Bordero!B98="","",Bordero!E98)</f>
        <v/>
      </c>
      <c r="F97" s="52" t="str">
        <f>IF(Bordero!B98="","",Bordero!F98)</f>
        <v/>
      </c>
      <c r="G97" s="53" t="str">
        <f>IF(Bordero!B98="","",Bordero!I98)</f>
        <v/>
      </c>
      <c r="H97" s="89" t="str">
        <f>IF(Bordero!B98="","",'Import A'!E91)</f>
        <v/>
      </c>
      <c r="I97" s="31" t="str">
        <f>IF(Bordero!G98="","",Bordero!G98)</f>
        <v/>
      </c>
      <c r="J97" s="99" t="str">
        <f>IF(Bordero!H98="","",Bordero!H98)</f>
        <v/>
      </c>
      <c r="K97" s="100" t="str">
        <f>IF(Bordero!K98="","",Bordero!K98)</f>
        <v/>
      </c>
      <c r="L97" s="49" t="str">
        <f t="shared" si="1"/>
        <v/>
      </c>
    </row>
    <row r="98" spans="1:12" ht="15.75">
      <c r="A98" s="51" t="str">
        <f>Bordero!A99</f>
        <v>91</v>
      </c>
      <c r="B98" s="62" t="str">
        <f>IF(Bordero!B99="","",Bordero!B99)</f>
        <v/>
      </c>
      <c r="C98" s="61" t="str">
        <f>IF(Bordero!B99="","",Bordero!C99)</f>
        <v/>
      </c>
      <c r="D98" s="55" t="str">
        <f>IF(Bordero!B99="","",Bordero!D99)</f>
        <v/>
      </c>
      <c r="E98" s="52" t="str">
        <f>IF(Bordero!B99="","",Bordero!E99)</f>
        <v/>
      </c>
      <c r="F98" s="52" t="str">
        <f>IF(Bordero!B99="","",Bordero!F99)</f>
        <v/>
      </c>
      <c r="G98" s="53" t="str">
        <f>IF(Bordero!B99="","",Bordero!I99)</f>
        <v/>
      </c>
      <c r="H98" s="89" t="str">
        <f>IF(Bordero!B99="","",'Import A'!E92)</f>
        <v/>
      </c>
      <c r="I98" s="31" t="str">
        <f>IF(Bordero!G99="","",Bordero!G99)</f>
        <v/>
      </c>
      <c r="J98" s="99" t="str">
        <f>IF(Bordero!H99="","",Bordero!H99)</f>
        <v/>
      </c>
      <c r="K98" s="100" t="str">
        <f>IF(Bordero!K99="","",Bordero!K99)</f>
        <v/>
      </c>
      <c r="L98" s="49" t="str">
        <f t="shared" si="1"/>
        <v/>
      </c>
    </row>
    <row r="99" spans="1:12" ht="15.75">
      <c r="A99" s="51" t="str">
        <f>Bordero!A100</f>
        <v>92</v>
      </c>
      <c r="B99" s="62" t="str">
        <f>IF(Bordero!B100="","",Bordero!B100)</f>
        <v/>
      </c>
      <c r="C99" s="61" t="str">
        <f>IF(Bordero!B100="","",Bordero!C100)</f>
        <v/>
      </c>
      <c r="D99" s="55" t="str">
        <f>IF(Bordero!B100="","",Bordero!D100)</f>
        <v/>
      </c>
      <c r="E99" s="52" t="str">
        <f>IF(Bordero!B100="","",Bordero!E100)</f>
        <v/>
      </c>
      <c r="F99" s="52" t="str">
        <f>IF(Bordero!B100="","",Bordero!F100)</f>
        <v/>
      </c>
      <c r="G99" s="53" t="str">
        <f>IF(Bordero!B100="","",Bordero!I100)</f>
        <v/>
      </c>
      <c r="H99" s="89" t="str">
        <f>IF(Bordero!B100="","",'Import A'!E93)</f>
        <v/>
      </c>
      <c r="I99" s="31" t="str">
        <f>IF(Bordero!G100="","",Bordero!G100)</f>
        <v/>
      </c>
      <c r="J99" s="99" t="str">
        <f>IF(Bordero!H100="","",Bordero!H100)</f>
        <v/>
      </c>
      <c r="K99" s="100" t="str">
        <f>IF(Bordero!K100="","",Bordero!K100)</f>
        <v/>
      </c>
      <c r="L99" s="49" t="str">
        <f t="shared" si="1"/>
        <v/>
      </c>
    </row>
    <row r="100" spans="1:12" ht="15.75">
      <c r="A100" s="51" t="str">
        <f>Bordero!A101</f>
        <v>93</v>
      </c>
      <c r="B100" s="62" t="str">
        <f>IF(Bordero!B101="","",Bordero!B101)</f>
        <v/>
      </c>
      <c r="C100" s="61" t="str">
        <f>IF(Bordero!B101="","",Bordero!C101)</f>
        <v/>
      </c>
      <c r="D100" s="55" t="str">
        <f>IF(Bordero!B101="","",Bordero!D101)</f>
        <v/>
      </c>
      <c r="E100" s="52" t="str">
        <f>IF(Bordero!B101="","",Bordero!E101)</f>
        <v/>
      </c>
      <c r="F100" s="52" t="str">
        <f>IF(Bordero!B101="","",Bordero!F101)</f>
        <v/>
      </c>
      <c r="G100" s="53" t="str">
        <f>IF(Bordero!B101="","",Bordero!I101)</f>
        <v/>
      </c>
      <c r="H100" s="89" t="str">
        <f>IF(Bordero!B101="","",'Import A'!E94)</f>
        <v/>
      </c>
      <c r="I100" s="31" t="str">
        <f>IF(Bordero!G101="","",Bordero!G101)</f>
        <v/>
      </c>
      <c r="J100" s="99" t="str">
        <f>IF(Bordero!H101="","",Bordero!H101)</f>
        <v/>
      </c>
      <c r="K100" s="100" t="str">
        <f>IF(Bordero!K101="","",Bordero!K101)</f>
        <v/>
      </c>
      <c r="L100" s="49" t="str">
        <f t="shared" si="1"/>
        <v/>
      </c>
    </row>
    <row r="101" spans="1:12" ht="15.75">
      <c r="A101" s="51" t="str">
        <f>Bordero!A102</f>
        <v>94</v>
      </c>
      <c r="B101" s="62" t="str">
        <f>IF(Bordero!B102="","",Bordero!B102)</f>
        <v/>
      </c>
      <c r="C101" s="61" t="str">
        <f>IF(Bordero!B102="","",Bordero!C102)</f>
        <v/>
      </c>
      <c r="D101" s="55" t="str">
        <f>IF(Bordero!B102="","",Bordero!D102)</f>
        <v/>
      </c>
      <c r="E101" s="52" t="str">
        <f>IF(Bordero!B102="","",Bordero!E102)</f>
        <v/>
      </c>
      <c r="F101" s="52" t="str">
        <f>IF(Bordero!B102="","",Bordero!F102)</f>
        <v/>
      </c>
      <c r="G101" s="53" t="str">
        <f>IF(Bordero!B102="","",Bordero!I102)</f>
        <v/>
      </c>
      <c r="H101" s="89" t="str">
        <f>IF(Bordero!B102="","",'Import A'!E95)</f>
        <v/>
      </c>
      <c r="I101" s="31" t="str">
        <f>IF(Bordero!G102="","",Bordero!G102)</f>
        <v/>
      </c>
      <c r="J101" s="99" t="str">
        <f>IF(Bordero!H102="","",Bordero!H102)</f>
        <v/>
      </c>
      <c r="K101" s="100" t="str">
        <f>IF(Bordero!K102="","",Bordero!K102)</f>
        <v/>
      </c>
      <c r="L101" s="49" t="str">
        <f t="shared" si="1"/>
        <v/>
      </c>
    </row>
    <row r="102" spans="1:12" ht="15.75">
      <c r="A102" s="51" t="str">
        <f>Bordero!A103</f>
        <v>95</v>
      </c>
      <c r="B102" s="62" t="str">
        <f>IF(Bordero!B103="","",Bordero!B103)</f>
        <v/>
      </c>
      <c r="C102" s="61" t="str">
        <f>IF(Bordero!B103="","",Bordero!C103)</f>
        <v/>
      </c>
      <c r="D102" s="55" t="str">
        <f>IF(Bordero!B103="","",Bordero!D103)</f>
        <v/>
      </c>
      <c r="E102" s="52" t="str">
        <f>IF(Bordero!B103="","",Bordero!E103)</f>
        <v/>
      </c>
      <c r="F102" s="52" t="str">
        <f>IF(Bordero!B103="","",Bordero!F103)</f>
        <v/>
      </c>
      <c r="G102" s="53" t="str">
        <f>IF(Bordero!B103="","",Bordero!I103)</f>
        <v/>
      </c>
      <c r="H102" s="89" t="str">
        <f>IF(Bordero!B103="","",'Import A'!E96)</f>
        <v/>
      </c>
      <c r="I102" s="31" t="str">
        <f>IF(Bordero!G103="","",Bordero!G103)</f>
        <v/>
      </c>
      <c r="J102" s="99" t="str">
        <f>IF(Bordero!H103="","",Bordero!H103)</f>
        <v/>
      </c>
      <c r="K102" s="100" t="str">
        <f>IF(Bordero!K103="","",Bordero!K103)</f>
        <v/>
      </c>
      <c r="L102" s="49" t="str">
        <f t="shared" si="1"/>
        <v/>
      </c>
    </row>
    <row r="103" spans="1:12" ht="15.75">
      <c r="A103" s="51" t="str">
        <f>Bordero!A104</f>
        <v>96</v>
      </c>
      <c r="B103" s="62" t="str">
        <f>IF(Bordero!B104="","",Bordero!B104)</f>
        <v/>
      </c>
      <c r="C103" s="61" t="str">
        <f>IF(Bordero!B104="","",Bordero!C104)</f>
        <v/>
      </c>
      <c r="D103" s="55" t="str">
        <f>IF(Bordero!B104="","",Bordero!D104)</f>
        <v/>
      </c>
      <c r="E103" s="52" t="str">
        <f>IF(Bordero!B104="","",Bordero!E104)</f>
        <v/>
      </c>
      <c r="F103" s="52" t="str">
        <f>IF(Bordero!B104="","",Bordero!F104)</f>
        <v/>
      </c>
      <c r="G103" s="53" t="str">
        <f>IF(Bordero!B104="","",Bordero!I104)</f>
        <v/>
      </c>
      <c r="H103" s="89" t="str">
        <f>IF(Bordero!B104="","",'Import A'!E97)</f>
        <v/>
      </c>
      <c r="I103" s="31" t="str">
        <f>IF(Bordero!G104="","",Bordero!G104)</f>
        <v/>
      </c>
      <c r="J103" s="99" t="str">
        <f>IF(Bordero!H104="","",Bordero!H104)</f>
        <v/>
      </c>
      <c r="K103" s="100" t="str">
        <f>IF(Bordero!K104="","",Bordero!K104)</f>
        <v/>
      </c>
      <c r="L103" s="49" t="str">
        <f t="shared" si="1"/>
        <v/>
      </c>
    </row>
    <row r="104" spans="1:12" ht="15.75">
      <c r="A104" s="51" t="str">
        <f>Bordero!A105</f>
        <v>97</v>
      </c>
      <c r="B104" s="62" t="str">
        <f>IF(Bordero!B105="","",Bordero!B105)</f>
        <v/>
      </c>
      <c r="C104" s="61" t="str">
        <f>IF(Bordero!B105="","",Bordero!C105)</f>
        <v/>
      </c>
      <c r="D104" s="55" t="str">
        <f>IF(Bordero!B105="","",Bordero!D105)</f>
        <v/>
      </c>
      <c r="E104" s="52" t="str">
        <f>IF(Bordero!B105="","",Bordero!E105)</f>
        <v/>
      </c>
      <c r="F104" s="52" t="str">
        <f>IF(Bordero!B105="","",Bordero!F105)</f>
        <v/>
      </c>
      <c r="G104" s="53" t="str">
        <f>IF(Bordero!B105="","",Bordero!I105)</f>
        <v/>
      </c>
      <c r="H104" s="89" t="str">
        <f>IF(Bordero!B105="","",'Import A'!E98)</f>
        <v/>
      </c>
      <c r="I104" s="31" t="str">
        <f>IF(Bordero!G105="","",Bordero!G105)</f>
        <v/>
      </c>
      <c r="J104" s="99" t="str">
        <f>IF(Bordero!H105="","",Bordero!H105)</f>
        <v/>
      </c>
      <c r="K104" s="100" t="str">
        <f>IF(Bordero!K105="","",Bordero!K105)</f>
        <v/>
      </c>
      <c r="L104" s="49" t="str">
        <f t="shared" si="1"/>
        <v/>
      </c>
    </row>
    <row r="105" spans="1:12" ht="15.75">
      <c r="A105" s="51" t="str">
        <f>Bordero!A106</f>
        <v>98</v>
      </c>
      <c r="B105" s="62" t="str">
        <f>IF(Bordero!B106="","",Bordero!B106)</f>
        <v/>
      </c>
      <c r="C105" s="61" t="str">
        <f>IF(Bordero!B106="","",Bordero!C106)</f>
        <v/>
      </c>
      <c r="D105" s="55" t="str">
        <f>IF(Bordero!B106="","",Bordero!D106)</f>
        <v/>
      </c>
      <c r="E105" s="52" t="str">
        <f>IF(Bordero!B106="","",Bordero!E106)</f>
        <v/>
      </c>
      <c r="F105" s="52" t="str">
        <f>IF(Bordero!B106="","",Bordero!F106)</f>
        <v/>
      </c>
      <c r="G105" s="53" t="str">
        <f>IF(Bordero!B106="","",Bordero!I106)</f>
        <v/>
      </c>
      <c r="H105" s="89" t="str">
        <f>IF(Bordero!B106="","",'Import A'!E99)</f>
        <v/>
      </c>
      <c r="I105" s="31" t="str">
        <f>IF(Bordero!G106="","",Bordero!G106)</f>
        <v/>
      </c>
      <c r="J105" s="99" t="str">
        <f>IF(Bordero!H106="","",Bordero!H106)</f>
        <v/>
      </c>
      <c r="K105" s="100" t="str">
        <f>IF(Bordero!K106="","",Bordero!K106)</f>
        <v/>
      </c>
      <c r="L105" s="49" t="str">
        <f t="shared" si="1"/>
        <v/>
      </c>
    </row>
    <row r="106" spans="1:12" ht="15.75">
      <c r="A106" s="51" t="str">
        <f>Bordero!A107</f>
        <v>99</v>
      </c>
      <c r="B106" s="62" t="str">
        <f>IF(Bordero!B107="","",Bordero!B107)</f>
        <v/>
      </c>
      <c r="C106" s="61" t="str">
        <f>IF(Bordero!B107="","",Bordero!C107)</f>
        <v/>
      </c>
      <c r="D106" s="55" t="str">
        <f>IF(Bordero!B107="","",Bordero!D107)</f>
        <v/>
      </c>
      <c r="E106" s="52" t="str">
        <f>IF(Bordero!B107="","",Bordero!E107)</f>
        <v/>
      </c>
      <c r="F106" s="52" t="str">
        <f>IF(Bordero!B107="","",Bordero!F107)</f>
        <v/>
      </c>
      <c r="G106" s="53" t="str">
        <f>IF(Bordero!B107="","",Bordero!I107)</f>
        <v/>
      </c>
      <c r="H106" s="89" t="str">
        <f>IF(Bordero!B107="","",'Import A'!E100)</f>
        <v/>
      </c>
      <c r="I106" s="31" t="str">
        <f>IF(Bordero!G107="","",Bordero!G107)</f>
        <v/>
      </c>
      <c r="J106" s="99" t="str">
        <f>IF(Bordero!H107="","",Bordero!H107)</f>
        <v/>
      </c>
      <c r="K106" s="100" t="str">
        <f>IF(Bordero!K107="","",Bordero!K107)</f>
        <v/>
      </c>
      <c r="L106" s="49" t="str">
        <f t="shared" si="1"/>
        <v/>
      </c>
    </row>
    <row r="107" spans="1:12" ht="15.75">
      <c r="A107" s="51" t="str">
        <f>Bordero!A108</f>
        <v>100</v>
      </c>
      <c r="B107" s="62" t="str">
        <f>IF(Bordero!B108="","",Bordero!B108)</f>
        <v/>
      </c>
      <c r="C107" s="61" t="str">
        <f>IF(Bordero!B108="","",Bordero!C108)</f>
        <v/>
      </c>
      <c r="D107" s="55" t="str">
        <f>IF(Bordero!B108="","",Bordero!D108)</f>
        <v/>
      </c>
      <c r="E107" s="52" t="str">
        <f>IF(Bordero!B108="","",Bordero!E108)</f>
        <v/>
      </c>
      <c r="F107" s="52" t="str">
        <f>IF(Bordero!B108="","",Bordero!F108)</f>
        <v/>
      </c>
      <c r="G107" s="53" t="str">
        <f>IF(Bordero!B108="","",Bordero!I108)</f>
        <v/>
      </c>
      <c r="H107" s="89" t="str">
        <f>IF(Bordero!B108="","",'Import A'!E101)</f>
        <v/>
      </c>
      <c r="I107" s="31" t="str">
        <f>IF(Bordero!G108="","",Bordero!G108)</f>
        <v/>
      </c>
      <c r="J107" s="99" t="str">
        <f>IF(Bordero!H108="","",Bordero!H108)</f>
        <v/>
      </c>
      <c r="K107" s="100" t="str">
        <f>IF(Bordero!K108="","",Bordero!K108)</f>
        <v/>
      </c>
      <c r="L107" s="49" t="str">
        <f t="shared" ref="L107" si="2">IF(B107&lt;&gt;"",(F107-$L$1),"")</f>
        <v/>
      </c>
    </row>
    <row r="108" spans="1:12" ht="15.75">
      <c r="L108" s="49">
        <f ca="1">AVERAGE(L8:L107)</f>
        <v>12</v>
      </c>
    </row>
  </sheetData>
  <mergeCells count="7">
    <mergeCell ref="I1:K6"/>
    <mergeCell ref="C4:C5"/>
    <mergeCell ref="D4:D5"/>
    <mergeCell ref="A1:E1"/>
    <mergeCell ref="G1:H1"/>
    <mergeCell ref="B3:D3"/>
    <mergeCell ref="B2:H2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2E55-0A76-4B0E-BD0D-BCAF591BDBFC}">
  <sheetPr codeName="Planilha4"/>
  <dimension ref="A1:J110"/>
  <sheetViews>
    <sheetView showGridLines="0" workbookViewId="0">
      <selection activeCell="A8" sqref="A8"/>
    </sheetView>
  </sheetViews>
  <sheetFormatPr defaultRowHeight="15"/>
  <cols>
    <col min="1" max="1" width="24.42578125" style="72" customWidth="1"/>
    <col min="2" max="2" width="21.42578125" style="72" customWidth="1"/>
    <col min="3" max="3" width="16.85546875" customWidth="1"/>
    <col min="4" max="4" width="13.28515625" customWidth="1"/>
    <col min="5" max="5" width="12.140625" customWidth="1"/>
    <col min="6" max="6" width="24" bestFit="1" customWidth="1"/>
    <col min="7" max="7" width="21" customWidth="1"/>
    <col min="9" max="9" width="17.85546875" customWidth="1"/>
    <col min="10" max="10" width="13.85546875" customWidth="1"/>
  </cols>
  <sheetData>
    <row r="1" spans="1:10">
      <c r="A1" s="242" t="s">
        <v>253</v>
      </c>
      <c r="B1" s="243"/>
      <c r="F1" s="244" t="s">
        <v>101</v>
      </c>
      <c r="G1" s="244"/>
      <c r="I1" s="244" t="s">
        <v>102</v>
      </c>
      <c r="J1" s="244"/>
    </row>
    <row r="2" spans="1:10">
      <c r="A2" s="148"/>
      <c r="F2" s="31" t="s">
        <v>103</v>
      </c>
      <c r="G2" s="144" t="s">
        <v>183</v>
      </c>
      <c r="I2" s="31" t="s">
        <v>104</v>
      </c>
      <c r="J2" s="33">
        <f>G3</f>
        <v>30</v>
      </c>
    </row>
    <row r="3" spans="1:10">
      <c r="A3" s="44"/>
      <c r="B3" s="87">
        <f>Bordero!I4</f>
        <v>0</v>
      </c>
      <c r="F3" s="31" t="s">
        <v>105</v>
      </c>
      <c r="G3" s="32">
        <v>30</v>
      </c>
      <c r="I3" s="31" t="s">
        <v>106</v>
      </c>
      <c r="J3" s="33">
        <f>G2*J7</f>
        <v>0</v>
      </c>
    </row>
    <row r="4" spans="1:10">
      <c r="F4" s="31" t="s">
        <v>107</v>
      </c>
      <c r="G4" s="34">
        <v>3.0000000000000001E-3</v>
      </c>
      <c r="I4" s="31" t="s">
        <v>107</v>
      </c>
      <c r="J4" s="33">
        <f>G4*J8</f>
        <v>150</v>
      </c>
    </row>
    <row r="5" spans="1:10">
      <c r="F5" s="31" t="s">
        <v>108</v>
      </c>
      <c r="G5" s="32">
        <v>10</v>
      </c>
      <c r="I5" s="31" t="s">
        <v>108</v>
      </c>
      <c r="J5" s="33">
        <f>G5</f>
        <v>10</v>
      </c>
    </row>
    <row r="6" spans="1:10">
      <c r="A6" s="73" t="s">
        <v>109</v>
      </c>
      <c r="B6" s="73" t="s">
        <v>87</v>
      </c>
      <c r="C6" s="30" t="s">
        <v>110</v>
      </c>
      <c r="D6" s="30" t="s">
        <v>111</v>
      </c>
      <c r="I6" s="31" t="s">
        <v>112</v>
      </c>
      <c r="J6" s="35">
        <f>SUM(J2:J5)</f>
        <v>190</v>
      </c>
    </row>
    <row r="7" spans="1:10" ht="21" thickBot="1">
      <c r="A7" s="74" t="str">
        <f>IF(Bordero!B9="","",Bordero!F9)</f>
        <v>08/07/2026</v>
      </c>
      <c r="B7" s="75">
        <f>IF(Bordero!B9="","",Bordero!I9)</f>
        <v>50000</v>
      </c>
      <c r="C7" s="33">
        <f t="shared" ref="C7:C40" ca="1" si="0">IFERROR(D7*B7,"")</f>
        <v>600000</v>
      </c>
      <c r="D7" s="31">
        <f t="shared" ref="D7:D36" ca="1" si="1">IF(A7="","",A7-$J$11)</f>
        <v>12</v>
      </c>
      <c r="I7" s="31" t="s">
        <v>113</v>
      </c>
      <c r="J7" s="32">
        <f>COUNT(A7:A106)</f>
        <v>0</v>
      </c>
    </row>
    <row r="8" spans="1:10" ht="21" thickBot="1">
      <c r="A8" s="74" t="str">
        <f>IF(Bordero!B10="","",Bordero!F10)</f>
        <v/>
      </c>
      <c r="B8" s="75" t="str">
        <f>IF(Bordero!B10="","",Bordero!I10)</f>
        <v/>
      </c>
      <c r="C8" s="33" t="str">
        <f t="shared" si="0"/>
        <v/>
      </c>
      <c r="D8" s="31" t="str">
        <f t="shared" si="1"/>
        <v/>
      </c>
      <c r="F8" s="83" t="s">
        <v>114</v>
      </c>
      <c r="G8" s="84">
        <f>IF(Bordero!I5="Sim",B3+(J6*30/(J8*A110)),B3)</f>
        <v>3.8E-3</v>
      </c>
      <c r="I8" s="31" t="s">
        <v>115</v>
      </c>
      <c r="J8" s="32">
        <f>B107</f>
        <v>50000</v>
      </c>
    </row>
    <row r="9" spans="1:10" ht="20.25">
      <c r="A9" s="74" t="str">
        <f>IF(Bordero!B11="","",Bordero!F11)</f>
        <v/>
      </c>
      <c r="B9" s="75" t="str">
        <f>IF(Bordero!B11="","",Bordero!I11)</f>
        <v/>
      </c>
      <c r="C9" s="33" t="str">
        <f t="shared" si="0"/>
        <v/>
      </c>
      <c r="D9" s="31" t="str">
        <f t="shared" si="1"/>
        <v/>
      </c>
      <c r="I9" s="31" t="s">
        <v>116</v>
      </c>
      <c r="J9" s="36">
        <f ca="1">AVERAGE(D7:D107)</f>
        <v>12</v>
      </c>
    </row>
    <row r="10" spans="1:10" ht="20.25">
      <c r="A10" s="74" t="str">
        <f>IF(Bordero!B12="","",Bordero!F12)</f>
        <v/>
      </c>
      <c r="B10" s="75" t="str">
        <f>IF(Bordero!B12="","",Bordero!I12)</f>
        <v/>
      </c>
      <c r="C10" s="33" t="str">
        <f t="shared" si="0"/>
        <v/>
      </c>
      <c r="D10" s="31" t="str">
        <f t="shared" si="1"/>
        <v/>
      </c>
      <c r="I10" s="31" t="s">
        <v>117</v>
      </c>
      <c r="J10" s="36">
        <f ca="1">C107/B107</f>
        <v>12</v>
      </c>
    </row>
    <row r="11" spans="1:10" ht="20.25">
      <c r="A11" s="74" t="str">
        <f>IF(Bordero!B13="","",Bordero!F13)</f>
        <v/>
      </c>
      <c r="B11" s="75" t="str">
        <f>IF(Bordero!B13="","",Bordero!I13)</f>
        <v/>
      </c>
      <c r="C11" s="33" t="str">
        <f t="shared" si="0"/>
        <v/>
      </c>
      <c r="D11" s="31" t="str">
        <f t="shared" si="1"/>
        <v/>
      </c>
      <c r="I11" s="31" t="s">
        <v>118</v>
      </c>
      <c r="J11" s="37">
        <f ca="1">TODAY()</f>
        <v>46199</v>
      </c>
    </row>
    <row r="12" spans="1:10" ht="20.25">
      <c r="A12" s="74" t="str">
        <f>IF(Bordero!B14="","",Bordero!F14)</f>
        <v/>
      </c>
      <c r="B12" s="75" t="str">
        <f>IF(Bordero!B14="","",Bordero!I14)</f>
        <v/>
      </c>
      <c r="C12" s="33" t="str">
        <f t="shared" si="0"/>
        <v/>
      </c>
      <c r="D12" s="31" t="str">
        <f t="shared" si="1"/>
        <v/>
      </c>
    </row>
    <row r="13" spans="1:10" ht="20.25">
      <c r="A13" s="74" t="str">
        <f>IF(Bordero!B15="","",Bordero!F15)</f>
        <v/>
      </c>
      <c r="B13" s="75" t="str">
        <f>IF(Bordero!B15="","",Bordero!I15)</f>
        <v/>
      </c>
      <c r="C13" s="33" t="str">
        <f t="shared" si="0"/>
        <v/>
      </c>
      <c r="D13" s="31" t="str">
        <f t="shared" si="1"/>
        <v/>
      </c>
    </row>
    <row r="14" spans="1:10" ht="20.25">
      <c r="A14" s="74" t="str">
        <f>IF(Bordero!B16="","",Bordero!F16)</f>
        <v/>
      </c>
      <c r="B14" s="75" t="str">
        <f>IF(Bordero!B16="","",Bordero!I16)</f>
        <v/>
      </c>
      <c r="C14" s="33" t="str">
        <f t="shared" si="0"/>
        <v/>
      </c>
      <c r="D14" s="31" t="str">
        <f t="shared" si="1"/>
        <v/>
      </c>
    </row>
    <row r="15" spans="1:10" ht="20.25">
      <c r="A15" s="74" t="str">
        <f>IF(Bordero!B17="","",Bordero!F17)</f>
        <v/>
      </c>
      <c r="B15" s="75" t="str">
        <f>IF(Bordero!B17="","",Bordero!I17)</f>
        <v/>
      </c>
      <c r="C15" s="33" t="str">
        <f t="shared" si="0"/>
        <v/>
      </c>
      <c r="D15" s="31" t="str">
        <f t="shared" si="1"/>
        <v/>
      </c>
    </row>
    <row r="16" spans="1:10" ht="20.25">
      <c r="A16" s="74" t="str">
        <f>IF(Bordero!B18="","",Bordero!F18)</f>
        <v/>
      </c>
      <c r="B16" s="75" t="str">
        <f>IF(Bordero!B18="","",Bordero!I18)</f>
        <v/>
      </c>
      <c r="C16" s="33" t="str">
        <f t="shared" si="0"/>
        <v/>
      </c>
      <c r="D16" s="31" t="str">
        <f t="shared" si="1"/>
        <v/>
      </c>
    </row>
    <row r="17" spans="1:4" ht="20.25">
      <c r="A17" s="74" t="str">
        <f>IF(Bordero!B19="","",Bordero!F19)</f>
        <v/>
      </c>
      <c r="B17" s="75" t="str">
        <f>IF(Bordero!B19="","",Bordero!I19)</f>
        <v/>
      </c>
      <c r="C17" s="33" t="str">
        <f t="shared" si="0"/>
        <v/>
      </c>
      <c r="D17" s="31" t="str">
        <f t="shared" si="1"/>
        <v/>
      </c>
    </row>
    <row r="18" spans="1:4" ht="20.25">
      <c r="A18" s="74" t="str">
        <f>IF(Bordero!B20="","",Bordero!F20)</f>
        <v/>
      </c>
      <c r="B18" s="75" t="str">
        <f>IF(Bordero!B20="","",Bordero!I20)</f>
        <v/>
      </c>
      <c r="C18" s="33" t="str">
        <f t="shared" si="0"/>
        <v/>
      </c>
      <c r="D18" s="31" t="str">
        <f t="shared" si="1"/>
        <v/>
      </c>
    </row>
    <row r="19" spans="1:4" ht="20.25">
      <c r="A19" s="74" t="str">
        <f>IF(Bordero!B21="","",Bordero!F21)</f>
        <v/>
      </c>
      <c r="B19" s="75" t="str">
        <f>IF(Bordero!B21="","",Bordero!I21)</f>
        <v/>
      </c>
      <c r="C19" s="33" t="str">
        <f t="shared" si="0"/>
        <v/>
      </c>
      <c r="D19" s="31" t="str">
        <f t="shared" si="1"/>
        <v/>
      </c>
    </row>
    <row r="20" spans="1:4" ht="20.25">
      <c r="A20" s="74" t="str">
        <f>IF(Bordero!B22="","",Bordero!F22)</f>
        <v/>
      </c>
      <c r="B20" s="75" t="str">
        <f>IF(Bordero!B22="","",Bordero!I22)</f>
        <v/>
      </c>
      <c r="C20" s="33" t="str">
        <f t="shared" si="0"/>
        <v/>
      </c>
      <c r="D20" s="31" t="str">
        <f t="shared" si="1"/>
        <v/>
      </c>
    </row>
    <row r="21" spans="1:4" ht="20.25">
      <c r="A21" s="74" t="str">
        <f>IF(Bordero!B23="","",Bordero!F23)</f>
        <v/>
      </c>
      <c r="B21" s="75" t="str">
        <f>IF(Bordero!B23="","",Bordero!I23)</f>
        <v/>
      </c>
      <c r="C21" s="33" t="str">
        <f t="shared" si="0"/>
        <v/>
      </c>
      <c r="D21" s="31" t="str">
        <f t="shared" si="1"/>
        <v/>
      </c>
    </row>
    <row r="22" spans="1:4" ht="20.25">
      <c r="A22" s="74" t="str">
        <f>IF(Bordero!B24="","",Bordero!F24)</f>
        <v/>
      </c>
      <c r="B22" s="75" t="str">
        <f>IF(Bordero!B24="","",Bordero!I24)</f>
        <v/>
      </c>
      <c r="C22" s="33" t="str">
        <f t="shared" si="0"/>
        <v/>
      </c>
      <c r="D22" s="31" t="str">
        <f t="shared" si="1"/>
        <v/>
      </c>
    </row>
    <row r="23" spans="1:4" ht="20.25">
      <c r="A23" s="74" t="str">
        <f>IF(Bordero!B25="","",Bordero!F25)</f>
        <v/>
      </c>
      <c r="B23" s="75" t="str">
        <f>IF(Bordero!B25="","",Bordero!I25)</f>
        <v/>
      </c>
      <c r="C23" s="33" t="str">
        <f t="shared" si="0"/>
        <v/>
      </c>
      <c r="D23" s="31" t="str">
        <f t="shared" si="1"/>
        <v/>
      </c>
    </row>
    <row r="24" spans="1:4" ht="20.25">
      <c r="A24" s="74" t="str">
        <f>IF(Bordero!B26="","",Bordero!F26)</f>
        <v/>
      </c>
      <c r="B24" s="75" t="str">
        <f>IF(Bordero!B26="","",Bordero!I26)</f>
        <v/>
      </c>
      <c r="C24" s="33" t="str">
        <f t="shared" si="0"/>
        <v/>
      </c>
      <c r="D24" s="31" t="str">
        <f t="shared" si="1"/>
        <v/>
      </c>
    </row>
    <row r="25" spans="1:4" ht="20.25">
      <c r="A25" s="74" t="str">
        <f>IF(Bordero!B27="","",Bordero!F27)</f>
        <v/>
      </c>
      <c r="B25" s="75" t="str">
        <f>IF(Bordero!B27="","",Bordero!I27)</f>
        <v/>
      </c>
      <c r="C25" s="33" t="str">
        <f t="shared" si="0"/>
        <v/>
      </c>
      <c r="D25" s="31" t="str">
        <f t="shared" si="1"/>
        <v/>
      </c>
    </row>
    <row r="26" spans="1:4" ht="20.25">
      <c r="A26" s="74" t="str">
        <f>IF(Bordero!B28="","",Bordero!F28)</f>
        <v/>
      </c>
      <c r="B26" s="75" t="str">
        <f>IF(Bordero!B28="","",Bordero!I28)</f>
        <v/>
      </c>
      <c r="C26" s="33" t="str">
        <f t="shared" si="0"/>
        <v/>
      </c>
      <c r="D26" s="31" t="str">
        <f t="shared" si="1"/>
        <v/>
      </c>
    </row>
    <row r="27" spans="1:4" ht="20.25">
      <c r="A27" s="74" t="str">
        <f>IF(Bordero!B29="","",Bordero!F29)</f>
        <v/>
      </c>
      <c r="B27" s="75" t="str">
        <f>IF(Bordero!B29="","",Bordero!I29)</f>
        <v/>
      </c>
      <c r="C27" s="33" t="str">
        <f t="shared" si="0"/>
        <v/>
      </c>
      <c r="D27" s="31" t="str">
        <f t="shared" si="1"/>
        <v/>
      </c>
    </row>
    <row r="28" spans="1:4" ht="20.25">
      <c r="A28" s="74" t="str">
        <f>IF(Bordero!B30="","",Bordero!F30)</f>
        <v/>
      </c>
      <c r="B28" s="75" t="str">
        <f>IF(Bordero!B30="","",Bordero!I30)</f>
        <v/>
      </c>
      <c r="C28" s="33" t="str">
        <f t="shared" si="0"/>
        <v/>
      </c>
      <c r="D28" s="31" t="str">
        <f t="shared" si="1"/>
        <v/>
      </c>
    </row>
    <row r="29" spans="1:4" ht="20.25">
      <c r="A29" s="74" t="str">
        <f>IF(Bordero!B31="","",Bordero!F31)</f>
        <v/>
      </c>
      <c r="B29" s="75" t="str">
        <f>IF(Bordero!B31="","",Bordero!I31)</f>
        <v/>
      </c>
      <c r="C29" s="33" t="str">
        <f t="shared" si="0"/>
        <v/>
      </c>
      <c r="D29" s="31" t="str">
        <f t="shared" si="1"/>
        <v/>
      </c>
    </row>
    <row r="30" spans="1:4" ht="20.25">
      <c r="A30" s="74" t="str">
        <f>IF(Bordero!B32="","",Bordero!F32)</f>
        <v/>
      </c>
      <c r="B30" s="75" t="str">
        <f>IF(Bordero!B32="","",Bordero!I32)</f>
        <v/>
      </c>
      <c r="C30" s="33" t="str">
        <f t="shared" si="0"/>
        <v/>
      </c>
      <c r="D30" s="31" t="str">
        <f t="shared" si="1"/>
        <v/>
      </c>
    </row>
    <row r="31" spans="1:4" ht="20.25">
      <c r="A31" s="74" t="str">
        <f>IF(Bordero!B33="","",Bordero!F33)</f>
        <v/>
      </c>
      <c r="B31" s="75" t="str">
        <f>IF(Bordero!B33="","",Bordero!I33)</f>
        <v/>
      </c>
      <c r="C31" s="33" t="str">
        <f t="shared" si="0"/>
        <v/>
      </c>
      <c r="D31" s="31" t="str">
        <f t="shared" si="1"/>
        <v/>
      </c>
    </row>
    <row r="32" spans="1:4" ht="20.25">
      <c r="A32" s="74" t="str">
        <f>IF(Bordero!B34="","",Bordero!F34)</f>
        <v/>
      </c>
      <c r="B32" s="75" t="str">
        <f>IF(Bordero!B34="","",Bordero!I34)</f>
        <v/>
      </c>
      <c r="C32" s="33" t="str">
        <f t="shared" si="0"/>
        <v/>
      </c>
      <c r="D32" s="31" t="str">
        <f t="shared" si="1"/>
        <v/>
      </c>
    </row>
    <row r="33" spans="1:4" ht="20.25">
      <c r="A33" s="74" t="str">
        <f>IF(Bordero!B35="","",Bordero!F35)</f>
        <v/>
      </c>
      <c r="B33" s="75" t="str">
        <f>IF(Bordero!B35="","",Bordero!I35)</f>
        <v/>
      </c>
      <c r="C33" s="33" t="str">
        <f t="shared" si="0"/>
        <v/>
      </c>
      <c r="D33" s="31" t="str">
        <f t="shared" si="1"/>
        <v/>
      </c>
    </row>
    <row r="34" spans="1:4" ht="20.25">
      <c r="A34" s="74" t="str">
        <f>IF(Bordero!B36="","",Bordero!F36)</f>
        <v/>
      </c>
      <c r="B34" s="75" t="str">
        <f>IF(Bordero!B36="","",Bordero!I36)</f>
        <v/>
      </c>
      <c r="C34" s="33" t="str">
        <f t="shared" si="0"/>
        <v/>
      </c>
      <c r="D34" s="31" t="str">
        <f t="shared" si="1"/>
        <v/>
      </c>
    </row>
    <row r="35" spans="1:4" ht="20.25">
      <c r="A35" s="74" t="str">
        <f>IF(Bordero!B37="","",Bordero!F37)</f>
        <v/>
      </c>
      <c r="B35" s="75" t="str">
        <f>IF(Bordero!B37="","",Bordero!I37)</f>
        <v/>
      </c>
      <c r="C35" s="33" t="str">
        <f t="shared" si="0"/>
        <v/>
      </c>
      <c r="D35" s="31" t="str">
        <f t="shared" si="1"/>
        <v/>
      </c>
    </row>
    <row r="36" spans="1:4" ht="20.25">
      <c r="A36" s="74" t="str">
        <f>IF(Bordero!B38="","",Bordero!F38)</f>
        <v/>
      </c>
      <c r="B36" s="75" t="str">
        <f>IF(Bordero!B38="","",Bordero!I38)</f>
        <v/>
      </c>
      <c r="C36" s="33" t="str">
        <f t="shared" si="0"/>
        <v/>
      </c>
      <c r="D36" s="31" t="str">
        <f t="shared" si="1"/>
        <v/>
      </c>
    </row>
    <row r="37" spans="1:4" ht="16.5" customHeight="1">
      <c r="A37" s="74" t="str">
        <f>IF(Bordero!B39="","",Bordero!F39)</f>
        <v/>
      </c>
      <c r="B37" s="75" t="str">
        <f>IF(Bordero!B39="","",Bordero!I39)</f>
        <v/>
      </c>
      <c r="C37" s="33" t="str">
        <f t="shared" si="0"/>
        <v/>
      </c>
      <c r="D37" s="31" t="str">
        <f t="shared" ref="D37:D40" si="2">IF(A37="","",A37-$J$11)</f>
        <v/>
      </c>
    </row>
    <row r="38" spans="1:4" ht="20.25">
      <c r="A38" s="74" t="str">
        <f>IF(Bordero!B40="","",Bordero!F40)</f>
        <v/>
      </c>
      <c r="B38" s="75" t="str">
        <f>IF(Bordero!B40="","",Bordero!I40)</f>
        <v/>
      </c>
      <c r="C38" s="33" t="str">
        <f t="shared" si="0"/>
        <v/>
      </c>
      <c r="D38" s="31" t="str">
        <f t="shared" si="2"/>
        <v/>
      </c>
    </row>
    <row r="39" spans="1:4" ht="20.25">
      <c r="A39" s="74" t="str">
        <f>IF(Bordero!B41="","",Bordero!F41)</f>
        <v/>
      </c>
      <c r="B39" s="75" t="str">
        <f>IF(Bordero!B41="","",Bordero!I41)</f>
        <v/>
      </c>
      <c r="C39" s="33" t="str">
        <f t="shared" si="0"/>
        <v/>
      </c>
      <c r="D39" s="31" t="str">
        <f t="shared" si="2"/>
        <v/>
      </c>
    </row>
    <row r="40" spans="1:4" ht="20.25">
      <c r="A40" s="74" t="str">
        <f>IF(Bordero!B42="","",Bordero!F42)</f>
        <v/>
      </c>
      <c r="B40" s="75" t="str">
        <f>IF(Bordero!B42="","",Bordero!I42)</f>
        <v/>
      </c>
      <c r="C40" s="33" t="str">
        <f t="shared" si="0"/>
        <v/>
      </c>
      <c r="D40" s="31" t="str">
        <f t="shared" si="2"/>
        <v/>
      </c>
    </row>
    <row r="41" spans="1:4" ht="20.25">
      <c r="A41" s="74" t="str">
        <f>IF(Bordero!B43="","",Bordero!F43)</f>
        <v/>
      </c>
      <c r="B41" s="75" t="str">
        <f>IF(Bordero!B43="","",Bordero!I43)</f>
        <v/>
      </c>
      <c r="C41" s="33" t="str">
        <f t="shared" ref="C41:C104" si="3">IFERROR(D41*B41,"")</f>
        <v/>
      </c>
      <c r="D41" s="31" t="str">
        <f t="shared" ref="D41:D104" si="4">IF(A41="","",A41-$J$11)</f>
        <v/>
      </c>
    </row>
    <row r="42" spans="1:4" ht="20.25">
      <c r="A42" s="74" t="str">
        <f>IF(Bordero!B44="","",Bordero!F44)</f>
        <v/>
      </c>
      <c r="B42" s="75" t="str">
        <f>IF(Bordero!B44="","",Bordero!I44)</f>
        <v/>
      </c>
      <c r="C42" s="33" t="str">
        <f t="shared" si="3"/>
        <v/>
      </c>
      <c r="D42" s="31" t="str">
        <f t="shared" si="4"/>
        <v/>
      </c>
    </row>
    <row r="43" spans="1:4" ht="20.25">
      <c r="A43" s="74" t="str">
        <f>IF(Bordero!B45="","",Bordero!F45)</f>
        <v/>
      </c>
      <c r="B43" s="75" t="str">
        <f>IF(Bordero!B45="","",Bordero!I45)</f>
        <v/>
      </c>
      <c r="C43" s="33" t="str">
        <f t="shared" si="3"/>
        <v/>
      </c>
      <c r="D43" s="31" t="str">
        <f t="shared" si="4"/>
        <v/>
      </c>
    </row>
    <row r="44" spans="1:4" ht="20.25">
      <c r="A44" s="74" t="str">
        <f>IF(Bordero!B46="","",Bordero!F46)</f>
        <v/>
      </c>
      <c r="B44" s="75" t="str">
        <f>IF(Bordero!B46="","",Bordero!I46)</f>
        <v/>
      </c>
      <c r="C44" s="33" t="str">
        <f t="shared" si="3"/>
        <v/>
      </c>
      <c r="D44" s="31" t="str">
        <f t="shared" si="4"/>
        <v/>
      </c>
    </row>
    <row r="45" spans="1:4" ht="20.25">
      <c r="A45" s="74" t="str">
        <f>IF(Bordero!B47="","",Bordero!F47)</f>
        <v/>
      </c>
      <c r="B45" s="75" t="str">
        <f>IF(Bordero!B47="","",Bordero!I47)</f>
        <v/>
      </c>
      <c r="C45" s="33" t="str">
        <f t="shared" si="3"/>
        <v/>
      </c>
      <c r="D45" s="31" t="str">
        <f t="shared" si="4"/>
        <v/>
      </c>
    </row>
    <row r="46" spans="1:4" ht="20.25">
      <c r="A46" s="74" t="str">
        <f>IF(Bordero!B48="","",Bordero!F48)</f>
        <v/>
      </c>
      <c r="B46" s="75" t="str">
        <f>IF(Bordero!B48="","",Bordero!I48)</f>
        <v/>
      </c>
      <c r="C46" s="33" t="str">
        <f t="shared" si="3"/>
        <v/>
      </c>
      <c r="D46" s="31" t="str">
        <f t="shared" si="4"/>
        <v/>
      </c>
    </row>
    <row r="47" spans="1:4" ht="20.25">
      <c r="A47" s="74" t="str">
        <f>IF(Bordero!B49="","",Bordero!F49)</f>
        <v/>
      </c>
      <c r="B47" s="75" t="str">
        <f>IF(Bordero!B49="","",Bordero!I49)</f>
        <v/>
      </c>
      <c r="C47" s="33" t="str">
        <f t="shared" si="3"/>
        <v/>
      </c>
      <c r="D47" s="31" t="str">
        <f t="shared" si="4"/>
        <v/>
      </c>
    </row>
    <row r="48" spans="1:4" ht="20.25">
      <c r="A48" s="74" t="str">
        <f>IF(Bordero!B50="","",Bordero!F50)</f>
        <v/>
      </c>
      <c r="B48" s="75" t="str">
        <f>IF(Bordero!B50="","",Bordero!I50)</f>
        <v/>
      </c>
      <c r="C48" s="33" t="str">
        <f t="shared" si="3"/>
        <v/>
      </c>
      <c r="D48" s="31" t="str">
        <f t="shared" si="4"/>
        <v/>
      </c>
    </row>
    <row r="49" spans="1:4" ht="20.25">
      <c r="A49" s="74" t="str">
        <f>IF(Bordero!B51="","",Bordero!F51)</f>
        <v/>
      </c>
      <c r="B49" s="75" t="str">
        <f>IF(Bordero!B51="","",Bordero!I51)</f>
        <v/>
      </c>
      <c r="C49" s="33" t="str">
        <f t="shared" si="3"/>
        <v/>
      </c>
      <c r="D49" s="31" t="str">
        <f t="shared" si="4"/>
        <v/>
      </c>
    </row>
    <row r="50" spans="1:4" ht="20.25">
      <c r="A50" s="74" t="str">
        <f>IF(Bordero!B52="","",Bordero!F52)</f>
        <v/>
      </c>
      <c r="B50" s="75" t="str">
        <f>IF(Bordero!B52="","",Bordero!I52)</f>
        <v/>
      </c>
      <c r="C50" s="33" t="str">
        <f t="shared" si="3"/>
        <v/>
      </c>
      <c r="D50" s="31" t="str">
        <f t="shared" si="4"/>
        <v/>
      </c>
    </row>
    <row r="51" spans="1:4" ht="20.25">
      <c r="A51" s="74" t="str">
        <f>IF(Bordero!B53="","",Bordero!F53)</f>
        <v/>
      </c>
      <c r="B51" s="75" t="str">
        <f>IF(Bordero!B53="","",Bordero!I53)</f>
        <v/>
      </c>
      <c r="C51" s="33" t="str">
        <f t="shared" si="3"/>
        <v/>
      </c>
      <c r="D51" s="31" t="str">
        <f t="shared" si="4"/>
        <v/>
      </c>
    </row>
    <row r="52" spans="1:4" ht="20.25">
      <c r="A52" s="74" t="str">
        <f>IF(Bordero!B54="","",Bordero!F54)</f>
        <v/>
      </c>
      <c r="B52" s="75" t="str">
        <f>IF(Bordero!B54="","",Bordero!I54)</f>
        <v/>
      </c>
      <c r="C52" s="33" t="str">
        <f t="shared" si="3"/>
        <v/>
      </c>
      <c r="D52" s="31" t="str">
        <f t="shared" si="4"/>
        <v/>
      </c>
    </row>
    <row r="53" spans="1:4" ht="20.25">
      <c r="A53" s="74" t="str">
        <f>IF(Bordero!B55="","",Bordero!F55)</f>
        <v/>
      </c>
      <c r="B53" s="75" t="str">
        <f>IF(Bordero!B55="","",Bordero!I55)</f>
        <v/>
      </c>
      <c r="C53" s="33" t="str">
        <f t="shared" si="3"/>
        <v/>
      </c>
      <c r="D53" s="31" t="str">
        <f t="shared" si="4"/>
        <v/>
      </c>
    </row>
    <row r="54" spans="1:4" ht="20.25">
      <c r="A54" s="74" t="str">
        <f>IF(Bordero!B56="","",Bordero!F56)</f>
        <v/>
      </c>
      <c r="B54" s="75" t="str">
        <f>IF(Bordero!B56="","",Bordero!I56)</f>
        <v/>
      </c>
      <c r="C54" s="33" t="str">
        <f t="shared" si="3"/>
        <v/>
      </c>
      <c r="D54" s="31" t="str">
        <f t="shared" si="4"/>
        <v/>
      </c>
    </row>
    <row r="55" spans="1:4" ht="20.25">
      <c r="A55" s="74" t="str">
        <f>IF(Bordero!B57="","",Bordero!F57)</f>
        <v/>
      </c>
      <c r="B55" s="75" t="str">
        <f>IF(Bordero!B57="","",Bordero!I57)</f>
        <v/>
      </c>
      <c r="C55" s="33" t="str">
        <f t="shared" si="3"/>
        <v/>
      </c>
      <c r="D55" s="31" t="str">
        <f t="shared" si="4"/>
        <v/>
      </c>
    </row>
    <row r="56" spans="1:4" ht="20.25">
      <c r="A56" s="74" t="str">
        <f>IF(Bordero!B58="","",Bordero!F58)</f>
        <v/>
      </c>
      <c r="B56" s="75" t="str">
        <f>IF(Bordero!B58="","",Bordero!I58)</f>
        <v/>
      </c>
      <c r="C56" s="33" t="str">
        <f t="shared" si="3"/>
        <v/>
      </c>
      <c r="D56" s="31" t="str">
        <f t="shared" si="4"/>
        <v/>
      </c>
    </row>
    <row r="57" spans="1:4" ht="20.25">
      <c r="A57" s="74" t="str">
        <f>IF(Bordero!B59="","",Bordero!F59)</f>
        <v/>
      </c>
      <c r="B57" s="75" t="str">
        <f>IF(Bordero!B59="","",Bordero!I59)</f>
        <v/>
      </c>
      <c r="C57" s="33" t="str">
        <f t="shared" si="3"/>
        <v/>
      </c>
      <c r="D57" s="31" t="str">
        <f t="shared" si="4"/>
        <v/>
      </c>
    </row>
    <row r="58" spans="1:4" ht="20.25">
      <c r="A58" s="74" t="str">
        <f>IF(Bordero!B60="","",Bordero!F60)</f>
        <v/>
      </c>
      <c r="B58" s="75" t="str">
        <f>IF(Bordero!B60="","",Bordero!I60)</f>
        <v/>
      </c>
      <c r="C58" s="33" t="str">
        <f t="shared" si="3"/>
        <v/>
      </c>
      <c r="D58" s="31" t="str">
        <f t="shared" si="4"/>
        <v/>
      </c>
    </row>
    <row r="59" spans="1:4" ht="20.25">
      <c r="A59" s="74" t="str">
        <f>IF(Bordero!B61="","",Bordero!F61)</f>
        <v/>
      </c>
      <c r="B59" s="75" t="str">
        <f>IF(Bordero!B61="","",Bordero!I61)</f>
        <v/>
      </c>
      <c r="C59" s="33" t="str">
        <f t="shared" si="3"/>
        <v/>
      </c>
      <c r="D59" s="31" t="str">
        <f t="shared" si="4"/>
        <v/>
      </c>
    </row>
    <row r="60" spans="1:4" ht="20.25">
      <c r="A60" s="74" t="str">
        <f>IF(Bordero!B62="","",Bordero!F62)</f>
        <v/>
      </c>
      <c r="B60" s="75" t="str">
        <f>IF(Bordero!B62="","",Bordero!I62)</f>
        <v/>
      </c>
      <c r="C60" s="33" t="str">
        <f t="shared" si="3"/>
        <v/>
      </c>
      <c r="D60" s="31" t="str">
        <f t="shared" si="4"/>
        <v/>
      </c>
    </row>
    <row r="61" spans="1:4" ht="20.25">
      <c r="A61" s="74" t="str">
        <f>IF(Bordero!B63="","",Bordero!F63)</f>
        <v/>
      </c>
      <c r="B61" s="75" t="str">
        <f>IF(Bordero!B63="","",Bordero!I63)</f>
        <v/>
      </c>
      <c r="C61" s="33" t="str">
        <f t="shared" si="3"/>
        <v/>
      </c>
      <c r="D61" s="31" t="str">
        <f t="shared" si="4"/>
        <v/>
      </c>
    </row>
    <row r="62" spans="1:4" ht="20.25">
      <c r="A62" s="74" t="str">
        <f>IF(Bordero!B64="","",Bordero!F64)</f>
        <v/>
      </c>
      <c r="B62" s="75" t="str">
        <f>IF(Bordero!B64="","",Bordero!I64)</f>
        <v/>
      </c>
      <c r="C62" s="33" t="str">
        <f t="shared" si="3"/>
        <v/>
      </c>
      <c r="D62" s="31" t="str">
        <f t="shared" si="4"/>
        <v/>
      </c>
    </row>
    <row r="63" spans="1:4" ht="20.25">
      <c r="A63" s="74" t="str">
        <f>IF(Bordero!B65="","",Bordero!F65)</f>
        <v/>
      </c>
      <c r="B63" s="75" t="str">
        <f>IF(Bordero!B65="","",Bordero!I65)</f>
        <v/>
      </c>
      <c r="C63" s="33" t="str">
        <f t="shared" si="3"/>
        <v/>
      </c>
      <c r="D63" s="31" t="str">
        <f t="shared" si="4"/>
        <v/>
      </c>
    </row>
    <row r="64" spans="1:4" ht="20.25">
      <c r="A64" s="74" t="str">
        <f>IF(Bordero!B66="","",Bordero!F66)</f>
        <v/>
      </c>
      <c r="B64" s="75" t="str">
        <f>IF(Bordero!B66="","",Bordero!I66)</f>
        <v/>
      </c>
      <c r="C64" s="33" t="str">
        <f t="shared" si="3"/>
        <v/>
      </c>
      <c r="D64" s="31" t="str">
        <f t="shared" si="4"/>
        <v/>
      </c>
    </row>
    <row r="65" spans="1:4" ht="20.25">
      <c r="A65" s="74" t="str">
        <f>IF(Bordero!B67="","",Bordero!F67)</f>
        <v/>
      </c>
      <c r="B65" s="75" t="str">
        <f>IF(Bordero!B67="","",Bordero!I67)</f>
        <v/>
      </c>
      <c r="C65" s="33" t="str">
        <f t="shared" si="3"/>
        <v/>
      </c>
      <c r="D65" s="31" t="str">
        <f t="shared" si="4"/>
        <v/>
      </c>
    </row>
    <row r="66" spans="1:4" ht="20.25">
      <c r="A66" s="74" t="str">
        <f>IF(Bordero!B68="","",Bordero!F68)</f>
        <v/>
      </c>
      <c r="B66" s="75" t="str">
        <f>IF(Bordero!B68="","",Bordero!I68)</f>
        <v/>
      </c>
      <c r="C66" s="33" t="str">
        <f t="shared" si="3"/>
        <v/>
      </c>
      <c r="D66" s="31" t="str">
        <f t="shared" si="4"/>
        <v/>
      </c>
    </row>
    <row r="67" spans="1:4" ht="20.25">
      <c r="A67" s="74" t="str">
        <f>IF(Bordero!B69="","",Bordero!F69)</f>
        <v/>
      </c>
      <c r="B67" s="75" t="str">
        <f>IF(Bordero!B69="","",Bordero!I69)</f>
        <v/>
      </c>
      <c r="C67" s="33" t="str">
        <f t="shared" si="3"/>
        <v/>
      </c>
      <c r="D67" s="31" t="str">
        <f t="shared" si="4"/>
        <v/>
      </c>
    </row>
    <row r="68" spans="1:4" ht="20.25">
      <c r="A68" s="74" t="str">
        <f>IF(Bordero!B70="","",Bordero!F70)</f>
        <v/>
      </c>
      <c r="B68" s="75" t="str">
        <f>IF(Bordero!B70="","",Bordero!I70)</f>
        <v/>
      </c>
      <c r="C68" s="33" t="str">
        <f t="shared" si="3"/>
        <v/>
      </c>
      <c r="D68" s="31" t="str">
        <f t="shared" si="4"/>
        <v/>
      </c>
    </row>
    <row r="69" spans="1:4" ht="20.25">
      <c r="A69" s="74" t="str">
        <f>IF(Bordero!B71="","",Bordero!F71)</f>
        <v/>
      </c>
      <c r="B69" s="75" t="str">
        <f>IF(Bordero!B71="","",Bordero!I71)</f>
        <v/>
      </c>
      <c r="C69" s="33" t="str">
        <f t="shared" si="3"/>
        <v/>
      </c>
      <c r="D69" s="31" t="str">
        <f t="shared" si="4"/>
        <v/>
      </c>
    </row>
    <row r="70" spans="1:4" ht="20.25">
      <c r="A70" s="74" t="str">
        <f>IF(Bordero!B72="","",Bordero!F72)</f>
        <v/>
      </c>
      <c r="B70" s="75" t="str">
        <f>IF(Bordero!B72="","",Bordero!I72)</f>
        <v/>
      </c>
      <c r="C70" s="33" t="str">
        <f t="shared" si="3"/>
        <v/>
      </c>
      <c r="D70" s="31" t="str">
        <f t="shared" si="4"/>
        <v/>
      </c>
    </row>
    <row r="71" spans="1:4" ht="20.25">
      <c r="A71" s="74" t="str">
        <f>IF(Bordero!B73="","",Bordero!F73)</f>
        <v/>
      </c>
      <c r="B71" s="75" t="str">
        <f>IF(Bordero!B73="","",Bordero!I73)</f>
        <v/>
      </c>
      <c r="C71" s="33" t="str">
        <f t="shared" si="3"/>
        <v/>
      </c>
      <c r="D71" s="31" t="str">
        <f t="shared" si="4"/>
        <v/>
      </c>
    </row>
    <row r="72" spans="1:4" ht="20.25">
      <c r="A72" s="74" t="str">
        <f>IF(Bordero!B74="","",Bordero!F74)</f>
        <v/>
      </c>
      <c r="B72" s="75" t="str">
        <f>IF(Bordero!B74="","",Bordero!I74)</f>
        <v/>
      </c>
      <c r="C72" s="33" t="str">
        <f t="shared" si="3"/>
        <v/>
      </c>
      <c r="D72" s="31" t="str">
        <f t="shared" si="4"/>
        <v/>
      </c>
    </row>
    <row r="73" spans="1:4" ht="20.25">
      <c r="A73" s="74" t="str">
        <f>IF(Bordero!B75="","",Bordero!F75)</f>
        <v/>
      </c>
      <c r="B73" s="75" t="str">
        <f>IF(Bordero!B75="","",Bordero!I75)</f>
        <v/>
      </c>
      <c r="C73" s="33" t="str">
        <f t="shared" si="3"/>
        <v/>
      </c>
      <c r="D73" s="31" t="str">
        <f t="shared" si="4"/>
        <v/>
      </c>
    </row>
    <row r="74" spans="1:4" ht="20.25">
      <c r="A74" s="74" t="str">
        <f>IF(Bordero!B76="","",Bordero!F76)</f>
        <v/>
      </c>
      <c r="B74" s="75" t="str">
        <f>IF(Bordero!B76="","",Bordero!I76)</f>
        <v/>
      </c>
      <c r="C74" s="33" t="str">
        <f t="shared" si="3"/>
        <v/>
      </c>
      <c r="D74" s="31" t="str">
        <f t="shared" si="4"/>
        <v/>
      </c>
    </row>
    <row r="75" spans="1:4" ht="20.25">
      <c r="A75" s="74" t="str">
        <f>IF(Bordero!B77="","",Bordero!F77)</f>
        <v/>
      </c>
      <c r="B75" s="75" t="str">
        <f>IF(Bordero!B77="","",Bordero!I77)</f>
        <v/>
      </c>
      <c r="C75" s="33" t="str">
        <f t="shared" si="3"/>
        <v/>
      </c>
      <c r="D75" s="31" t="str">
        <f t="shared" si="4"/>
        <v/>
      </c>
    </row>
    <row r="76" spans="1:4" ht="20.25">
      <c r="A76" s="74" t="str">
        <f>IF(Bordero!B78="","",Bordero!F78)</f>
        <v/>
      </c>
      <c r="B76" s="75" t="str">
        <f>IF(Bordero!B78="","",Bordero!I78)</f>
        <v/>
      </c>
      <c r="C76" s="33" t="str">
        <f t="shared" si="3"/>
        <v/>
      </c>
      <c r="D76" s="31" t="str">
        <f t="shared" si="4"/>
        <v/>
      </c>
    </row>
    <row r="77" spans="1:4" ht="20.25">
      <c r="A77" s="74" t="str">
        <f>IF(Bordero!B79="","",Bordero!F79)</f>
        <v/>
      </c>
      <c r="B77" s="75" t="str">
        <f>IF(Bordero!B79="","",Bordero!I79)</f>
        <v/>
      </c>
      <c r="C77" s="33" t="str">
        <f t="shared" si="3"/>
        <v/>
      </c>
      <c r="D77" s="31" t="str">
        <f t="shared" si="4"/>
        <v/>
      </c>
    </row>
    <row r="78" spans="1:4" ht="20.25">
      <c r="A78" s="74" t="str">
        <f>IF(Bordero!B80="","",Bordero!F80)</f>
        <v/>
      </c>
      <c r="B78" s="75" t="str">
        <f>IF(Bordero!B80="","",Bordero!I80)</f>
        <v/>
      </c>
      <c r="C78" s="33" t="str">
        <f t="shared" si="3"/>
        <v/>
      </c>
      <c r="D78" s="31" t="str">
        <f t="shared" si="4"/>
        <v/>
      </c>
    </row>
    <row r="79" spans="1:4" ht="20.25">
      <c r="A79" s="74" t="str">
        <f>IF(Bordero!B81="","",Bordero!F81)</f>
        <v/>
      </c>
      <c r="B79" s="75" t="str">
        <f>IF(Bordero!B81="","",Bordero!I81)</f>
        <v/>
      </c>
      <c r="C79" s="33" t="str">
        <f t="shared" si="3"/>
        <v/>
      </c>
      <c r="D79" s="31" t="str">
        <f t="shared" si="4"/>
        <v/>
      </c>
    </row>
    <row r="80" spans="1:4" ht="20.25">
      <c r="A80" s="74" t="str">
        <f>IF(Bordero!B82="","",Bordero!F82)</f>
        <v/>
      </c>
      <c r="B80" s="75" t="str">
        <f>IF(Bordero!B82="","",Bordero!I82)</f>
        <v/>
      </c>
      <c r="C80" s="33" t="str">
        <f t="shared" si="3"/>
        <v/>
      </c>
      <c r="D80" s="31" t="str">
        <f t="shared" si="4"/>
        <v/>
      </c>
    </row>
    <row r="81" spans="1:4" ht="20.25">
      <c r="A81" s="74" t="str">
        <f>IF(Bordero!B83="","",Bordero!F83)</f>
        <v/>
      </c>
      <c r="B81" s="75" t="str">
        <f>IF(Bordero!B83="","",Bordero!I83)</f>
        <v/>
      </c>
      <c r="C81" s="33" t="str">
        <f t="shared" si="3"/>
        <v/>
      </c>
      <c r="D81" s="31" t="str">
        <f t="shared" si="4"/>
        <v/>
      </c>
    </row>
    <row r="82" spans="1:4" ht="20.25">
      <c r="A82" s="74" t="str">
        <f>IF(Bordero!B84="","",Bordero!F84)</f>
        <v/>
      </c>
      <c r="B82" s="75" t="str">
        <f>IF(Bordero!B84="","",Bordero!I84)</f>
        <v/>
      </c>
      <c r="C82" s="33" t="str">
        <f t="shared" si="3"/>
        <v/>
      </c>
      <c r="D82" s="31" t="str">
        <f t="shared" si="4"/>
        <v/>
      </c>
    </row>
    <row r="83" spans="1:4" ht="20.25">
      <c r="A83" s="74" t="str">
        <f>IF(Bordero!B85="","",Bordero!F85)</f>
        <v/>
      </c>
      <c r="B83" s="75" t="str">
        <f>IF(Bordero!B85="","",Bordero!I85)</f>
        <v/>
      </c>
      <c r="C83" s="33" t="str">
        <f t="shared" si="3"/>
        <v/>
      </c>
      <c r="D83" s="31" t="str">
        <f t="shared" si="4"/>
        <v/>
      </c>
    </row>
    <row r="84" spans="1:4" ht="20.25">
      <c r="A84" s="74" t="str">
        <f>IF(Bordero!B86="","",Bordero!F86)</f>
        <v/>
      </c>
      <c r="B84" s="75" t="str">
        <f>IF(Bordero!B86="","",Bordero!I86)</f>
        <v/>
      </c>
      <c r="C84" s="33" t="str">
        <f t="shared" si="3"/>
        <v/>
      </c>
      <c r="D84" s="31" t="str">
        <f t="shared" si="4"/>
        <v/>
      </c>
    </row>
    <row r="85" spans="1:4" ht="20.25">
      <c r="A85" s="74" t="str">
        <f>IF(Bordero!B87="","",Bordero!F87)</f>
        <v/>
      </c>
      <c r="B85" s="75" t="str">
        <f>IF(Bordero!B87="","",Bordero!I87)</f>
        <v/>
      </c>
      <c r="C85" s="33" t="str">
        <f t="shared" si="3"/>
        <v/>
      </c>
      <c r="D85" s="31" t="str">
        <f t="shared" si="4"/>
        <v/>
      </c>
    </row>
    <row r="86" spans="1:4" ht="20.25">
      <c r="A86" s="74" t="str">
        <f>IF(Bordero!B88="","",Bordero!F88)</f>
        <v/>
      </c>
      <c r="B86" s="75" t="str">
        <f>IF(Bordero!B88="","",Bordero!I88)</f>
        <v/>
      </c>
      <c r="C86" s="33" t="str">
        <f t="shared" si="3"/>
        <v/>
      </c>
      <c r="D86" s="31" t="str">
        <f t="shared" si="4"/>
        <v/>
      </c>
    </row>
    <row r="87" spans="1:4" ht="20.25">
      <c r="A87" s="74" t="str">
        <f>IF(Bordero!B89="","",Bordero!F89)</f>
        <v/>
      </c>
      <c r="B87" s="75" t="str">
        <f>IF(Bordero!B89="","",Bordero!I89)</f>
        <v/>
      </c>
      <c r="C87" s="33" t="str">
        <f t="shared" si="3"/>
        <v/>
      </c>
      <c r="D87" s="31" t="str">
        <f t="shared" si="4"/>
        <v/>
      </c>
    </row>
    <row r="88" spans="1:4" ht="20.25">
      <c r="A88" s="74" t="str">
        <f>IF(Bordero!B90="","",Bordero!F90)</f>
        <v/>
      </c>
      <c r="B88" s="75" t="str">
        <f>IF(Bordero!B90="","",Bordero!I90)</f>
        <v/>
      </c>
      <c r="C88" s="33" t="str">
        <f t="shared" si="3"/>
        <v/>
      </c>
      <c r="D88" s="31" t="str">
        <f t="shared" si="4"/>
        <v/>
      </c>
    </row>
    <row r="89" spans="1:4" ht="20.25">
      <c r="A89" s="74" t="str">
        <f>IF(Bordero!B91="","",Bordero!F91)</f>
        <v/>
      </c>
      <c r="B89" s="75" t="str">
        <f>IF(Bordero!B91="","",Bordero!I91)</f>
        <v/>
      </c>
      <c r="C89" s="33" t="str">
        <f t="shared" si="3"/>
        <v/>
      </c>
      <c r="D89" s="31" t="str">
        <f t="shared" si="4"/>
        <v/>
      </c>
    </row>
    <row r="90" spans="1:4" ht="20.25">
      <c r="A90" s="74" t="str">
        <f>IF(Bordero!B92="","",Bordero!F92)</f>
        <v/>
      </c>
      <c r="B90" s="75" t="str">
        <f>IF(Bordero!B92="","",Bordero!I92)</f>
        <v/>
      </c>
      <c r="C90" s="33" t="str">
        <f t="shared" si="3"/>
        <v/>
      </c>
      <c r="D90" s="31" t="str">
        <f t="shared" si="4"/>
        <v/>
      </c>
    </row>
    <row r="91" spans="1:4" ht="20.25">
      <c r="A91" s="74" t="str">
        <f>IF(Bordero!B93="","",Bordero!F93)</f>
        <v/>
      </c>
      <c r="B91" s="75" t="str">
        <f>IF(Bordero!B93="","",Bordero!I93)</f>
        <v/>
      </c>
      <c r="C91" s="33" t="str">
        <f t="shared" si="3"/>
        <v/>
      </c>
      <c r="D91" s="31" t="str">
        <f t="shared" si="4"/>
        <v/>
      </c>
    </row>
    <row r="92" spans="1:4" ht="20.25">
      <c r="A92" s="74" t="str">
        <f>IF(Bordero!B94="","",Bordero!F94)</f>
        <v/>
      </c>
      <c r="B92" s="75" t="str">
        <f>IF(Bordero!B94="","",Bordero!I94)</f>
        <v/>
      </c>
      <c r="C92" s="33" t="str">
        <f t="shared" si="3"/>
        <v/>
      </c>
      <c r="D92" s="31" t="str">
        <f t="shared" si="4"/>
        <v/>
      </c>
    </row>
    <row r="93" spans="1:4" ht="20.25">
      <c r="A93" s="74" t="str">
        <f>IF(Bordero!B95="","",Bordero!F95)</f>
        <v/>
      </c>
      <c r="B93" s="75" t="str">
        <f>IF(Bordero!B95="","",Bordero!I95)</f>
        <v/>
      </c>
      <c r="C93" s="33" t="str">
        <f t="shared" si="3"/>
        <v/>
      </c>
      <c r="D93" s="31" t="str">
        <f t="shared" si="4"/>
        <v/>
      </c>
    </row>
    <row r="94" spans="1:4" ht="20.25">
      <c r="A94" s="74" t="str">
        <f>IF(Bordero!B96="","",Bordero!F96)</f>
        <v/>
      </c>
      <c r="B94" s="75" t="str">
        <f>IF(Bordero!B96="","",Bordero!I96)</f>
        <v/>
      </c>
      <c r="C94" s="33" t="str">
        <f t="shared" si="3"/>
        <v/>
      </c>
      <c r="D94" s="31" t="str">
        <f t="shared" si="4"/>
        <v/>
      </c>
    </row>
    <row r="95" spans="1:4" ht="20.25">
      <c r="A95" s="74" t="str">
        <f>IF(Bordero!B97="","",Bordero!F97)</f>
        <v/>
      </c>
      <c r="B95" s="75" t="str">
        <f>IF(Bordero!B97="","",Bordero!I97)</f>
        <v/>
      </c>
      <c r="C95" s="33" t="str">
        <f t="shared" si="3"/>
        <v/>
      </c>
      <c r="D95" s="31" t="str">
        <f t="shared" si="4"/>
        <v/>
      </c>
    </row>
    <row r="96" spans="1:4" ht="20.25">
      <c r="A96" s="74" t="str">
        <f>IF(Bordero!B98="","",Bordero!F98)</f>
        <v/>
      </c>
      <c r="B96" s="75" t="str">
        <f>IF(Bordero!B98="","",Bordero!I98)</f>
        <v/>
      </c>
      <c r="C96" s="33" t="str">
        <f t="shared" si="3"/>
        <v/>
      </c>
      <c r="D96" s="31" t="str">
        <f t="shared" si="4"/>
        <v/>
      </c>
    </row>
    <row r="97" spans="1:4" ht="20.25">
      <c r="A97" s="74" t="str">
        <f>IF(Bordero!B99="","",Bordero!F99)</f>
        <v/>
      </c>
      <c r="B97" s="75" t="str">
        <f>IF(Bordero!B99="","",Bordero!I99)</f>
        <v/>
      </c>
      <c r="C97" s="33" t="str">
        <f t="shared" si="3"/>
        <v/>
      </c>
      <c r="D97" s="31" t="str">
        <f t="shared" si="4"/>
        <v/>
      </c>
    </row>
    <row r="98" spans="1:4" ht="20.25">
      <c r="A98" s="74" t="str">
        <f>IF(Bordero!B100="","",Bordero!F100)</f>
        <v/>
      </c>
      <c r="B98" s="75" t="str">
        <f>IF(Bordero!B100="","",Bordero!I100)</f>
        <v/>
      </c>
      <c r="C98" s="33" t="str">
        <f t="shared" si="3"/>
        <v/>
      </c>
      <c r="D98" s="31" t="str">
        <f t="shared" si="4"/>
        <v/>
      </c>
    </row>
    <row r="99" spans="1:4" ht="20.25">
      <c r="A99" s="74" t="str">
        <f>IF(Bordero!B101="","",Bordero!F101)</f>
        <v/>
      </c>
      <c r="B99" s="75" t="str">
        <f>IF(Bordero!B101="","",Bordero!I101)</f>
        <v/>
      </c>
      <c r="C99" s="33" t="str">
        <f t="shared" si="3"/>
        <v/>
      </c>
      <c r="D99" s="31" t="str">
        <f t="shared" si="4"/>
        <v/>
      </c>
    </row>
    <row r="100" spans="1:4" ht="20.25">
      <c r="A100" s="74" t="str">
        <f>IF(Bordero!B102="","",Bordero!F102)</f>
        <v/>
      </c>
      <c r="B100" s="75" t="str">
        <f>IF(Bordero!B102="","",Bordero!I102)</f>
        <v/>
      </c>
      <c r="C100" s="33" t="str">
        <f t="shared" si="3"/>
        <v/>
      </c>
      <c r="D100" s="31" t="str">
        <f t="shared" si="4"/>
        <v/>
      </c>
    </row>
    <row r="101" spans="1:4" ht="20.25">
      <c r="A101" s="74" t="str">
        <f>IF(Bordero!B103="","",Bordero!F103)</f>
        <v/>
      </c>
      <c r="B101" s="75" t="str">
        <f>IF(Bordero!B103="","",Bordero!I103)</f>
        <v/>
      </c>
      <c r="C101" s="33" t="str">
        <f t="shared" si="3"/>
        <v/>
      </c>
      <c r="D101" s="31" t="str">
        <f t="shared" si="4"/>
        <v/>
      </c>
    </row>
    <row r="102" spans="1:4" ht="20.25">
      <c r="A102" s="74" t="str">
        <f>IF(Bordero!B104="","",Bordero!F104)</f>
        <v/>
      </c>
      <c r="B102" s="75" t="str">
        <f>IF(Bordero!B104="","",Bordero!I104)</f>
        <v/>
      </c>
      <c r="C102" s="33" t="str">
        <f t="shared" si="3"/>
        <v/>
      </c>
      <c r="D102" s="31" t="str">
        <f t="shared" si="4"/>
        <v/>
      </c>
    </row>
    <row r="103" spans="1:4" ht="20.25">
      <c r="A103" s="74" t="str">
        <f>IF(Bordero!B105="","",Bordero!F105)</f>
        <v/>
      </c>
      <c r="B103" s="75" t="str">
        <f>IF(Bordero!B105="","",Bordero!I105)</f>
        <v/>
      </c>
      <c r="C103" s="33" t="str">
        <f t="shared" si="3"/>
        <v/>
      </c>
      <c r="D103" s="31" t="str">
        <f t="shared" si="4"/>
        <v/>
      </c>
    </row>
    <row r="104" spans="1:4" ht="20.25">
      <c r="A104" s="74" t="str">
        <f>IF(Bordero!B106="","",Bordero!F106)</f>
        <v/>
      </c>
      <c r="B104" s="75" t="str">
        <f>IF(Bordero!B106="","",Bordero!I106)</f>
        <v/>
      </c>
      <c r="C104" s="33" t="str">
        <f t="shared" si="3"/>
        <v/>
      </c>
      <c r="D104" s="31" t="str">
        <f t="shared" si="4"/>
        <v/>
      </c>
    </row>
    <row r="105" spans="1:4" ht="20.25">
      <c r="A105" s="74" t="str">
        <f>IF(Bordero!B107="","",Bordero!F107)</f>
        <v/>
      </c>
      <c r="B105" s="75" t="str">
        <f>IF(Bordero!B107="","",Bordero!I107)</f>
        <v/>
      </c>
      <c r="C105" s="33" t="str">
        <f t="shared" ref="C105:C106" si="5">IFERROR(D105*B105,"")</f>
        <v/>
      </c>
      <c r="D105" s="31" t="str">
        <f t="shared" ref="D105:D106" si="6">IF(A105="","",A105-$J$11)</f>
        <v/>
      </c>
    </row>
    <row r="106" spans="1:4" ht="20.25">
      <c r="A106" s="74" t="str">
        <f>IF(Bordero!B108="","",Bordero!F108)</f>
        <v/>
      </c>
      <c r="B106" s="75" t="str">
        <f>IF(Bordero!B108="","",Bordero!I108)</f>
        <v/>
      </c>
      <c r="C106" s="33" t="str">
        <f t="shared" si="5"/>
        <v/>
      </c>
      <c r="D106" s="31" t="str">
        <f t="shared" si="6"/>
        <v/>
      </c>
    </row>
    <row r="107" spans="1:4">
      <c r="A107" s="76" t="s">
        <v>88</v>
      </c>
      <c r="B107" s="77">
        <f>SUM(B7:B106)</f>
        <v>50000</v>
      </c>
      <c r="C107" s="77">
        <f ca="1">SUM(C7:C106)</f>
        <v>600000</v>
      </c>
      <c r="D107" s="77">
        <f ca="1">SUM(D7:D106)</f>
        <v>12</v>
      </c>
    </row>
    <row r="110" spans="1:4">
      <c r="A110" s="72">
        <f>IF(J15&lt;30,30,J10)</f>
        <v>30</v>
      </c>
      <c r="B110" s="72" t="s">
        <v>122</v>
      </c>
    </row>
  </sheetData>
  <mergeCells count="3">
    <mergeCell ref="A1:B1"/>
    <mergeCell ref="F1:G1"/>
    <mergeCell ref="I1:J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A0ED-499E-45A1-8EF0-76D503DEB3DC}">
  <sheetPr codeName="Planilha6"/>
  <dimension ref="A1:AD101"/>
  <sheetViews>
    <sheetView topLeftCell="V98" workbookViewId="0">
      <selection activeCell="A8" sqref="A8"/>
    </sheetView>
  </sheetViews>
  <sheetFormatPr defaultRowHeight="15"/>
  <cols>
    <col min="1" max="1" width="15.7109375" bestFit="1" customWidth="1"/>
    <col min="2" max="2" width="19.42578125" bestFit="1" customWidth="1"/>
    <col min="3" max="3" width="17.42578125" bestFit="1" customWidth="1"/>
    <col min="4" max="4" width="12.140625" bestFit="1" customWidth="1"/>
    <col min="5" max="5" width="11.5703125" bestFit="1" customWidth="1"/>
    <col min="6" max="6" width="11" bestFit="1" customWidth="1"/>
    <col min="7" max="7" width="12.140625" bestFit="1" customWidth="1"/>
    <col min="8" max="8" width="12" bestFit="1" customWidth="1"/>
    <col min="9" max="9" width="14.28515625" bestFit="1" customWidth="1"/>
    <col min="10" max="10" width="6.140625" bestFit="1" customWidth="1"/>
    <col min="11" max="11" width="35.42578125" bestFit="1" customWidth="1"/>
    <col min="13" max="13" width="13.140625" bestFit="1" customWidth="1"/>
    <col min="14" max="14" width="11.140625" bestFit="1" customWidth="1"/>
    <col min="15" max="15" width="15.140625" bestFit="1" customWidth="1"/>
    <col min="16" max="16" width="11.140625" bestFit="1" customWidth="1"/>
    <col min="17" max="17" width="15.140625" bestFit="1" customWidth="1"/>
    <col min="18" max="18" width="20.28515625" bestFit="1" customWidth="1"/>
    <col min="19" max="19" width="11.28515625" bestFit="1" customWidth="1"/>
    <col min="20" max="20" width="8.7109375" bestFit="1" customWidth="1"/>
    <col min="21" max="21" width="40.85546875" bestFit="1" customWidth="1"/>
    <col min="22" max="22" width="25.5703125" bestFit="1" customWidth="1"/>
    <col min="23" max="23" width="17" bestFit="1" customWidth="1"/>
    <col min="24" max="24" width="13.7109375" bestFit="1" customWidth="1"/>
    <col min="25" max="25" width="20.42578125" bestFit="1" customWidth="1"/>
    <col min="26" max="26" width="17.7109375" bestFit="1" customWidth="1"/>
    <col min="27" max="27" width="23.28515625" bestFit="1" customWidth="1"/>
    <col min="28" max="28" width="26.7109375" bestFit="1" customWidth="1"/>
    <col min="29" max="29" width="19.5703125" bestFit="1" customWidth="1"/>
    <col min="30" max="30" width="12.28515625" bestFit="1" customWidth="1"/>
  </cols>
  <sheetData>
    <row r="1" spans="1:30">
      <c r="A1" s="31" t="s">
        <v>35</v>
      </c>
      <c r="B1" s="31" t="s">
        <v>36</v>
      </c>
      <c r="C1" s="31" t="s">
        <v>37</v>
      </c>
      <c r="D1" s="31" t="s">
        <v>38</v>
      </c>
      <c r="E1" s="31" t="s">
        <v>39</v>
      </c>
      <c r="F1" s="31" t="s">
        <v>40</v>
      </c>
      <c r="G1" s="31" t="s">
        <v>41</v>
      </c>
      <c r="H1" s="31" t="s">
        <v>42</v>
      </c>
      <c r="I1" s="31" t="s">
        <v>43</v>
      </c>
      <c r="J1" s="31" t="s">
        <v>44</v>
      </c>
      <c r="K1" s="31" t="s">
        <v>45</v>
      </c>
      <c r="L1" s="31" t="s">
        <v>46</v>
      </c>
      <c r="M1" s="31" t="s">
        <v>47</v>
      </c>
      <c r="N1" s="31" t="s">
        <v>48</v>
      </c>
      <c r="O1" s="31" t="s">
        <v>49</v>
      </c>
      <c r="P1" s="31" t="s">
        <v>50</v>
      </c>
      <c r="Q1" s="31" t="s">
        <v>51</v>
      </c>
      <c r="R1" s="31" t="s">
        <v>52</v>
      </c>
      <c r="S1" s="31" t="s">
        <v>53</v>
      </c>
      <c r="T1" s="31" t="s">
        <v>54</v>
      </c>
      <c r="U1" s="31" t="s">
        <v>55</v>
      </c>
      <c r="V1" s="31" t="s">
        <v>56</v>
      </c>
      <c r="W1" s="31" t="s">
        <v>57</v>
      </c>
      <c r="X1" s="31" t="s">
        <v>58</v>
      </c>
      <c r="Y1" s="31" t="s">
        <v>59</v>
      </c>
      <c r="Z1" s="31" t="s">
        <v>60</v>
      </c>
      <c r="AA1" s="31" t="s">
        <v>61</v>
      </c>
      <c r="AB1" s="31" t="s">
        <v>62</v>
      </c>
      <c r="AC1" s="31" t="s">
        <v>63</v>
      </c>
      <c r="AD1" s="31" t="s">
        <v>64</v>
      </c>
    </row>
    <row r="2" spans="1:30">
      <c r="A2" s="31" t="str">
        <f>IF(Bordero!B9="","",IF(Bordero!$E$3="Comissária",Bordero!$C$4,Bordero!C9))</f>
        <v>LOGMA ENGENHARIA INDUSTRIAL LTDA</v>
      </c>
      <c r="B2" s="31" t="str">
        <f>IF(Bordero!B9="","",Bordero!B9)</f>
        <v>42422048000219</v>
      </c>
      <c r="C2" s="31">
        <f>IF(Bordero!B9="","",IF(Bordero!$E$3="Comissária",Bordero!G4,Bordero!G9))</f>
        <v>0</v>
      </c>
      <c r="D2" s="47">
        <f>IF(Bordero!B9="","",Bordero!I9)</f>
        <v>50000</v>
      </c>
      <c r="E2" s="31" t="str">
        <f>IF(Bordero!B9="","",Bordero!F9)</f>
        <v>08/07/2026</v>
      </c>
      <c r="F2" s="31"/>
      <c r="G2" s="31" t="str">
        <f>IF(Bordero!B9="","",Bordero!D9)</f>
        <v>145-001</v>
      </c>
      <c r="H2" s="31"/>
      <c r="I2" s="110">
        <f>IF(Bordero!B9="","",5%)</f>
        <v>0.05</v>
      </c>
      <c r="J2" s="110">
        <f>IF(Bordero!B9="","",2%)</f>
        <v>0.02</v>
      </c>
      <c r="K2" s="111">
        <f>IF(Bordero!B9="","",90)</f>
        <v>90</v>
      </c>
      <c r="L2" s="31"/>
      <c r="M2" s="37"/>
      <c r="N2" s="31"/>
      <c r="O2" s="37"/>
      <c r="P2" s="31"/>
      <c r="Q2" s="37"/>
      <c r="R2" s="31"/>
      <c r="S2" s="31"/>
      <c r="T2" s="31" t="str">
        <f>IF(Bordero!B9="","","several")</f>
        <v>several</v>
      </c>
      <c r="U2" s="31" t="str">
        <f>IF(Bordero!B9="","",Bordero!$C$4)</f>
        <v>LOGMA ENGENHARIA INDUSTRIAL LTDA</v>
      </c>
      <c r="V2" s="142">
        <f>IF(Bordero!B9="","",Bordero!$C$3)</f>
        <v>35071253000130</v>
      </c>
      <c r="W2" s="31"/>
      <c r="X2" s="31">
        <f>IF(Bordero!B9="","",Bordero!K9)</f>
        <v>65285000</v>
      </c>
      <c r="Y2" s="31"/>
      <c r="Z2" s="31"/>
      <c r="AA2" s="31"/>
      <c r="AB2" s="31"/>
      <c r="AC2" s="31"/>
      <c r="AD2" s="31"/>
    </row>
    <row r="3" spans="1:30">
      <c r="A3" s="31" t="str">
        <f>IF(Bordero!B10="","",IF(Bordero!$E$3="Comissária",Bordero!$C$4,Bordero!C10))</f>
        <v/>
      </c>
      <c r="B3" s="31" t="str">
        <f>IF(Bordero!B10="","",Bordero!B10)</f>
        <v/>
      </c>
      <c r="C3" s="31" t="str">
        <f>IF(Bordero!B10="","",IF(Bordero!$E$3="Comissária",Bordero!G5,Bordero!G10))</f>
        <v/>
      </c>
      <c r="D3" s="47" t="str">
        <f>IF(Bordero!B10="","",Bordero!I10)</f>
        <v/>
      </c>
      <c r="E3" s="31" t="str">
        <f>IF(Bordero!B10="","",Bordero!F10)</f>
        <v/>
      </c>
      <c r="F3" s="31"/>
      <c r="G3" s="31" t="str">
        <f>IF(Bordero!B10="","",Bordero!D10)</f>
        <v/>
      </c>
      <c r="H3" s="31"/>
      <c r="I3" s="110" t="str">
        <f>IF(Bordero!B10="","",5%)</f>
        <v/>
      </c>
      <c r="J3" s="110" t="str">
        <f>IF(Bordero!B10="","",2%)</f>
        <v/>
      </c>
      <c r="K3" s="111" t="str">
        <f>IF(Bordero!B10="","",90)</f>
        <v/>
      </c>
      <c r="L3" s="31"/>
      <c r="M3" s="37"/>
      <c r="N3" s="31"/>
      <c r="O3" s="37"/>
      <c r="P3" s="31"/>
      <c r="Q3" s="37"/>
      <c r="R3" s="31"/>
      <c r="S3" s="31"/>
      <c r="T3" s="31" t="str">
        <f>IF(Bordero!B10="","","several")</f>
        <v/>
      </c>
      <c r="U3" s="31" t="str">
        <f>IF(Bordero!B10="","",Bordero!$C$4)</f>
        <v/>
      </c>
      <c r="V3" s="142" t="str">
        <f>IF(Bordero!B10="","",Bordero!$C$3)</f>
        <v/>
      </c>
      <c r="W3" s="31"/>
      <c r="X3" s="31" t="str">
        <f>IF(Bordero!B10="","",Bordero!K10)</f>
        <v/>
      </c>
      <c r="Y3" s="31"/>
      <c r="Z3" s="31"/>
      <c r="AA3" s="31"/>
      <c r="AB3" s="31"/>
      <c r="AC3" s="31"/>
      <c r="AD3" s="31"/>
    </row>
    <row r="4" spans="1:30">
      <c r="A4" s="31" t="str">
        <f>IF(Bordero!B11="","",IF(Bordero!$E$3="Comissária",Bordero!$C$4,Bordero!C11))</f>
        <v/>
      </c>
      <c r="B4" s="31" t="str">
        <f>IF(Bordero!B11="","",Bordero!B11)</f>
        <v/>
      </c>
      <c r="C4" s="31" t="str">
        <f>IF(Bordero!B11="","",IF(Bordero!$E$3="Comissária",Bordero!G6,Bordero!G11))</f>
        <v/>
      </c>
      <c r="D4" s="47" t="str">
        <f>IF(Bordero!B11="","",Bordero!I11)</f>
        <v/>
      </c>
      <c r="E4" s="31" t="str">
        <f>IF(Bordero!B11="","",Bordero!F11)</f>
        <v/>
      </c>
      <c r="F4" s="31"/>
      <c r="G4" s="31" t="str">
        <f>IF(Bordero!B11="","",Bordero!D11)</f>
        <v/>
      </c>
      <c r="H4" s="31"/>
      <c r="I4" s="110" t="str">
        <f>IF(Bordero!B11="","",5%)</f>
        <v/>
      </c>
      <c r="J4" s="110" t="str">
        <f>IF(Bordero!B11="","",2%)</f>
        <v/>
      </c>
      <c r="K4" s="111" t="str">
        <f>IF(Bordero!B11="","",90)</f>
        <v/>
      </c>
      <c r="L4" s="31"/>
      <c r="M4" s="37"/>
      <c r="N4" s="31"/>
      <c r="O4" s="37"/>
      <c r="P4" s="31"/>
      <c r="Q4" s="37"/>
      <c r="R4" s="31"/>
      <c r="S4" s="31"/>
      <c r="T4" s="31" t="str">
        <f>IF(Bordero!B11="","","several")</f>
        <v/>
      </c>
      <c r="U4" s="31" t="str">
        <f>IF(Bordero!B11="","",Bordero!$C$4)</f>
        <v/>
      </c>
      <c r="V4" s="142" t="str">
        <f>IF(Bordero!B11="","",Bordero!$C$3)</f>
        <v/>
      </c>
      <c r="W4" s="31"/>
      <c r="X4" s="31" t="str">
        <f>IF(Bordero!B11="","",Bordero!K11)</f>
        <v/>
      </c>
      <c r="Y4" s="31"/>
      <c r="Z4" s="31"/>
      <c r="AA4" s="31"/>
      <c r="AB4" s="31"/>
      <c r="AC4" s="31"/>
      <c r="AD4" s="31"/>
    </row>
    <row r="5" spans="1:30">
      <c r="A5" s="31" t="str">
        <f>IF(Bordero!B12="","",IF(Bordero!$E$3="Comissária",Bordero!$C$4,Bordero!C12))</f>
        <v/>
      </c>
      <c r="B5" s="31" t="str">
        <f>IF(Bordero!B12="","",Bordero!B12)</f>
        <v/>
      </c>
      <c r="C5" s="31" t="str">
        <f>IF(Bordero!B12="","",IF(Bordero!$E$3="Comissária",Bordero!G7,Bordero!G12))</f>
        <v/>
      </c>
      <c r="D5" s="47" t="str">
        <f>IF(Bordero!B12="","",Bordero!I12)</f>
        <v/>
      </c>
      <c r="E5" s="31" t="str">
        <f>IF(Bordero!B12="","",Bordero!F12)</f>
        <v/>
      </c>
      <c r="F5" s="31"/>
      <c r="G5" s="31" t="str">
        <f>IF(Bordero!B12="","",Bordero!D12)</f>
        <v/>
      </c>
      <c r="H5" s="31"/>
      <c r="I5" s="110" t="str">
        <f>IF(Bordero!B12="","",5%)</f>
        <v/>
      </c>
      <c r="J5" s="110" t="str">
        <f>IF(Bordero!B12="","",2%)</f>
        <v/>
      </c>
      <c r="K5" s="111" t="str">
        <f>IF(Bordero!B12="","",90)</f>
        <v/>
      </c>
      <c r="L5" s="31"/>
      <c r="M5" s="37"/>
      <c r="N5" s="31"/>
      <c r="O5" s="37"/>
      <c r="P5" s="31"/>
      <c r="Q5" s="37"/>
      <c r="R5" s="31"/>
      <c r="S5" s="31"/>
      <c r="T5" s="31" t="str">
        <f>IF(Bordero!B12="","","several")</f>
        <v/>
      </c>
      <c r="U5" s="31" t="str">
        <f>IF(Bordero!B12="","",Bordero!$C$4)</f>
        <v/>
      </c>
      <c r="V5" s="142" t="str">
        <f>IF(Bordero!B12="","",Bordero!$C$3)</f>
        <v/>
      </c>
      <c r="W5" s="31"/>
      <c r="X5" s="31" t="str">
        <f>IF(Bordero!B12="","",Bordero!K12)</f>
        <v/>
      </c>
      <c r="Y5" s="31"/>
      <c r="Z5" s="31"/>
      <c r="AA5" s="31"/>
      <c r="AB5" s="31"/>
      <c r="AC5" s="31"/>
      <c r="AD5" s="31"/>
    </row>
    <row r="6" spans="1:30">
      <c r="A6" s="31" t="str">
        <f>IF(Bordero!B13="","",IF(Bordero!$E$3="Comissária",Bordero!$C$4,Bordero!C13))</f>
        <v/>
      </c>
      <c r="B6" s="31" t="str">
        <f>IF(Bordero!B13="","",Bordero!B13)</f>
        <v/>
      </c>
      <c r="C6" s="31" t="str">
        <f>IF(Bordero!B13="","",IF(Bordero!$E$3="Comissária",Bordero!G8,Bordero!G13))</f>
        <v/>
      </c>
      <c r="D6" s="47" t="str">
        <f>IF(Bordero!B13="","",Bordero!I13)</f>
        <v/>
      </c>
      <c r="E6" s="31" t="str">
        <f>IF(Bordero!B13="","",Bordero!F13)</f>
        <v/>
      </c>
      <c r="F6" s="31"/>
      <c r="G6" s="31" t="str">
        <f>IF(Bordero!B13="","",Bordero!D13)</f>
        <v/>
      </c>
      <c r="H6" s="31"/>
      <c r="I6" s="110" t="str">
        <f>IF(Bordero!B13="","",5%)</f>
        <v/>
      </c>
      <c r="J6" s="110" t="str">
        <f>IF(Bordero!B13="","",2%)</f>
        <v/>
      </c>
      <c r="K6" s="111" t="str">
        <f>IF(Bordero!B13="","",90)</f>
        <v/>
      </c>
      <c r="L6" s="31"/>
      <c r="M6" s="37"/>
      <c r="N6" s="31"/>
      <c r="O6" s="37"/>
      <c r="P6" s="31"/>
      <c r="Q6" s="37"/>
      <c r="R6" s="31"/>
      <c r="S6" s="31"/>
      <c r="T6" s="31" t="str">
        <f>IF(Bordero!B13="","","several")</f>
        <v/>
      </c>
      <c r="U6" s="31" t="str">
        <f>IF(Bordero!B13="","",Bordero!$C$4)</f>
        <v/>
      </c>
      <c r="V6" s="142" t="str">
        <f>IF(Bordero!B13="","",Bordero!$C$3)</f>
        <v/>
      </c>
      <c r="W6" s="31"/>
      <c r="X6" s="31" t="str">
        <f>IF(Bordero!B13="","",Bordero!K13)</f>
        <v/>
      </c>
      <c r="Y6" s="31"/>
      <c r="Z6" s="31"/>
      <c r="AA6" s="31"/>
      <c r="AB6" s="31"/>
      <c r="AC6" s="31"/>
      <c r="AD6" s="31"/>
    </row>
    <row r="7" spans="1:30">
      <c r="A7" s="31" t="str">
        <f>IF(Bordero!B14="","",IF(Bordero!$E$3="Comissária",Bordero!$C$4,Bordero!C14))</f>
        <v/>
      </c>
      <c r="B7" s="31" t="str">
        <f>IF(Bordero!B14="","",Bordero!B14)</f>
        <v/>
      </c>
      <c r="C7" s="31" t="str">
        <f>IF(Bordero!B14="","",IF(Bordero!$E$3="Comissária",Bordero!G9,Bordero!G14))</f>
        <v/>
      </c>
      <c r="D7" s="47" t="str">
        <f>IF(Bordero!B14="","",Bordero!I14)</f>
        <v/>
      </c>
      <c r="E7" s="31" t="str">
        <f>IF(Bordero!B14="","",Bordero!F14)</f>
        <v/>
      </c>
      <c r="F7" s="31"/>
      <c r="G7" s="31" t="str">
        <f>IF(Bordero!B14="","",Bordero!D14)</f>
        <v/>
      </c>
      <c r="H7" s="31"/>
      <c r="I7" s="110" t="str">
        <f>IF(Bordero!B14="","",5%)</f>
        <v/>
      </c>
      <c r="J7" s="110" t="str">
        <f>IF(Bordero!B14="","",2%)</f>
        <v/>
      </c>
      <c r="K7" s="111" t="str">
        <f>IF(Bordero!B14="","",90)</f>
        <v/>
      </c>
      <c r="L7" s="31"/>
      <c r="M7" s="37"/>
      <c r="N7" s="31"/>
      <c r="O7" s="37"/>
      <c r="P7" s="31"/>
      <c r="Q7" s="37"/>
      <c r="R7" s="31"/>
      <c r="S7" s="31"/>
      <c r="T7" s="31" t="str">
        <f>IF(Bordero!B14="","","several")</f>
        <v/>
      </c>
      <c r="U7" s="31" t="str">
        <f>IF(Bordero!B14="","",Bordero!$C$4)</f>
        <v/>
      </c>
      <c r="V7" s="142" t="str">
        <f>IF(Bordero!B14="","",Bordero!$C$3)</f>
        <v/>
      </c>
      <c r="W7" s="31"/>
      <c r="X7" s="31" t="str">
        <f>IF(Bordero!B14="","",Bordero!K14)</f>
        <v/>
      </c>
      <c r="Y7" s="31"/>
      <c r="Z7" s="31"/>
      <c r="AA7" s="31"/>
      <c r="AB7" s="31"/>
      <c r="AC7" s="31"/>
      <c r="AD7" s="31"/>
    </row>
    <row r="8" spans="1:30">
      <c r="A8" s="31" t="str">
        <f>IF(Bordero!B15="","",IF(Bordero!$E$3="Comissária",Bordero!$C$4,Bordero!C15))</f>
        <v/>
      </c>
      <c r="B8" s="31" t="str">
        <f>IF(Bordero!B15="","",Bordero!B15)</f>
        <v/>
      </c>
      <c r="C8" s="31" t="str">
        <f>IF(Bordero!B15="","",IF(Bordero!$E$3="Comissária",Bordero!G10,Bordero!G15))</f>
        <v/>
      </c>
      <c r="D8" s="47" t="str">
        <f>IF(Bordero!B15="","",Bordero!I15)</f>
        <v/>
      </c>
      <c r="E8" s="31" t="str">
        <f>IF(Bordero!B15="","",Bordero!F15)</f>
        <v/>
      </c>
      <c r="F8" s="31"/>
      <c r="G8" s="31" t="str">
        <f>IF(Bordero!B15="","",Bordero!D15)</f>
        <v/>
      </c>
      <c r="H8" s="31"/>
      <c r="I8" s="110" t="str">
        <f>IF(Bordero!B15="","",5%)</f>
        <v/>
      </c>
      <c r="J8" s="110" t="str">
        <f>IF(Bordero!B15="","",2%)</f>
        <v/>
      </c>
      <c r="K8" s="111" t="str">
        <f>IF(Bordero!B15="","",90)</f>
        <v/>
      </c>
      <c r="L8" s="31"/>
      <c r="M8" s="37"/>
      <c r="N8" s="31"/>
      <c r="O8" s="37"/>
      <c r="P8" s="31"/>
      <c r="Q8" s="37"/>
      <c r="R8" s="31"/>
      <c r="S8" s="31"/>
      <c r="T8" s="31" t="str">
        <f>IF(Bordero!B15="","","several")</f>
        <v/>
      </c>
      <c r="U8" s="31" t="str">
        <f>IF(Bordero!B15="","",Bordero!$C$4)</f>
        <v/>
      </c>
      <c r="V8" s="142" t="str">
        <f>IF(Bordero!B15="","",Bordero!$C$3)</f>
        <v/>
      </c>
      <c r="W8" s="31"/>
      <c r="X8" s="31" t="str">
        <f>IF(Bordero!B15="","",Bordero!K15)</f>
        <v/>
      </c>
      <c r="Y8" s="31"/>
      <c r="Z8" s="31"/>
      <c r="AA8" s="31"/>
      <c r="AB8" s="31"/>
      <c r="AC8" s="31"/>
      <c r="AD8" s="31"/>
    </row>
    <row r="9" spans="1:30">
      <c r="A9" s="31" t="str">
        <f>IF(Bordero!B16="","",IF(Bordero!$E$3="Comissária",Bordero!$C$4,Bordero!C16))</f>
        <v/>
      </c>
      <c r="B9" s="31" t="str">
        <f>IF(Bordero!B16="","",Bordero!B16)</f>
        <v/>
      </c>
      <c r="C9" s="31" t="str">
        <f>IF(Bordero!B16="","",IF(Bordero!$E$3="Comissária",Bordero!G11,Bordero!G16))</f>
        <v/>
      </c>
      <c r="D9" s="47" t="str">
        <f>IF(Bordero!B16="","",Bordero!I16)</f>
        <v/>
      </c>
      <c r="E9" s="31" t="str">
        <f>IF(Bordero!B16="","",Bordero!F16)</f>
        <v/>
      </c>
      <c r="F9" s="31"/>
      <c r="G9" s="31" t="str">
        <f>IF(Bordero!B16="","",Bordero!D16)</f>
        <v/>
      </c>
      <c r="H9" s="31"/>
      <c r="I9" s="110" t="str">
        <f>IF(Bordero!B16="","",5%)</f>
        <v/>
      </c>
      <c r="J9" s="110" t="str">
        <f>IF(Bordero!B16="","",2%)</f>
        <v/>
      </c>
      <c r="K9" s="111" t="str">
        <f>IF(Bordero!B16="","",90)</f>
        <v/>
      </c>
      <c r="L9" s="31"/>
      <c r="M9" s="37"/>
      <c r="N9" s="31"/>
      <c r="O9" s="37"/>
      <c r="P9" s="31"/>
      <c r="Q9" s="37"/>
      <c r="R9" s="31"/>
      <c r="S9" s="31"/>
      <c r="T9" s="31" t="str">
        <f>IF(Bordero!B16="","","several")</f>
        <v/>
      </c>
      <c r="U9" s="31" t="str">
        <f>IF(Bordero!B16="","",Bordero!$C$4)</f>
        <v/>
      </c>
      <c r="V9" s="142" t="str">
        <f>IF(Bordero!B16="","",Bordero!$C$3)</f>
        <v/>
      </c>
      <c r="W9" s="31"/>
      <c r="X9" s="31" t="str">
        <f>IF(Bordero!B16="","",Bordero!K16)</f>
        <v/>
      </c>
      <c r="Y9" s="31"/>
      <c r="Z9" s="31"/>
      <c r="AA9" s="31"/>
      <c r="AB9" s="31"/>
      <c r="AC9" s="31"/>
      <c r="AD9" s="31"/>
    </row>
    <row r="10" spans="1:30">
      <c r="A10" s="31" t="str">
        <f>IF(Bordero!B17="","",IF(Bordero!$E$3="Comissária",Bordero!$C$4,Bordero!C17))</f>
        <v/>
      </c>
      <c r="B10" s="31" t="str">
        <f>IF(Bordero!B17="","",Bordero!B17)</f>
        <v/>
      </c>
      <c r="C10" s="31" t="str">
        <f>IF(Bordero!B17="","",IF(Bordero!$E$3="Comissária",Bordero!G12,Bordero!G17))</f>
        <v/>
      </c>
      <c r="D10" s="47" t="str">
        <f>IF(Bordero!B17="","",Bordero!I17)</f>
        <v/>
      </c>
      <c r="E10" s="31" t="str">
        <f>IF(Bordero!B17="","",Bordero!F17)</f>
        <v/>
      </c>
      <c r="F10" s="31"/>
      <c r="G10" s="31" t="str">
        <f>IF(Bordero!B17="","",Bordero!D17)</f>
        <v/>
      </c>
      <c r="H10" s="31"/>
      <c r="I10" s="110" t="str">
        <f>IF(Bordero!B17="","",5%)</f>
        <v/>
      </c>
      <c r="J10" s="110" t="str">
        <f>IF(Bordero!B17="","",2%)</f>
        <v/>
      </c>
      <c r="K10" s="111" t="str">
        <f>IF(Bordero!B17="","",90)</f>
        <v/>
      </c>
      <c r="L10" s="31"/>
      <c r="M10" s="37"/>
      <c r="N10" s="31"/>
      <c r="O10" s="37"/>
      <c r="P10" s="31"/>
      <c r="Q10" s="37"/>
      <c r="R10" s="31"/>
      <c r="S10" s="31"/>
      <c r="T10" s="31" t="str">
        <f>IF(Bordero!B17="","","several")</f>
        <v/>
      </c>
      <c r="U10" s="31" t="str">
        <f>IF(Bordero!B17="","",Bordero!$C$4)</f>
        <v/>
      </c>
      <c r="V10" s="142" t="str">
        <f>IF(Bordero!B17="","",Bordero!$C$3)</f>
        <v/>
      </c>
      <c r="W10" s="31"/>
      <c r="X10" s="31" t="str">
        <f>IF(Bordero!B17="","",Bordero!K17)</f>
        <v/>
      </c>
      <c r="Y10" s="31"/>
      <c r="Z10" s="31"/>
      <c r="AA10" s="31"/>
      <c r="AB10" s="31"/>
      <c r="AC10" s="31"/>
      <c r="AD10" s="31"/>
    </row>
    <row r="11" spans="1:30">
      <c r="A11" s="31" t="str">
        <f>IF(Bordero!B18="","",IF(Bordero!$E$3="Comissária",Bordero!$C$4,Bordero!C18))</f>
        <v/>
      </c>
      <c r="B11" s="31" t="str">
        <f>IF(Bordero!B18="","",Bordero!B18)</f>
        <v/>
      </c>
      <c r="C11" s="31" t="str">
        <f>IF(Bordero!B18="","",IF(Bordero!$E$3="Comissária",Bordero!G13,Bordero!G18))</f>
        <v/>
      </c>
      <c r="D11" s="47" t="str">
        <f>IF(Bordero!B18="","",Bordero!I18)</f>
        <v/>
      </c>
      <c r="E11" s="31" t="str">
        <f>IF(Bordero!B18="","",Bordero!F18)</f>
        <v/>
      </c>
      <c r="F11" s="31"/>
      <c r="G11" s="31" t="str">
        <f>IF(Bordero!B18="","",Bordero!D18)</f>
        <v/>
      </c>
      <c r="H11" s="31"/>
      <c r="I11" s="110" t="str">
        <f>IF(Bordero!B18="","",5%)</f>
        <v/>
      </c>
      <c r="J11" s="110" t="str">
        <f>IF(Bordero!B18="","",2%)</f>
        <v/>
      </c>
      <c r="K11" s="111" t="str">
        <f>IF(Bordero!B18="","",90)</f>
        <v/>
      </c>
      <c r="L11" s="31"/>
      <c r="M11" s="37"/>
      <c r="N11" s="31"/>
      <c r="O11" s="37"/>
      <c r="P11" s="31"/>
      <c r="Q11" s="37"/>
      <c r="R11" s="31"/>
      <c r="S11" s="31"/>
      <c r="T11" s="31" t="str">
        <f>IF(Bordero!B18="","","several")</f>
        <v/>
      </c>
      <c r="U11" s="31" t="str">
        <f>IF(Bordero!B18="","",Bordero!$C$4)</f>
        <v/>
      </c>
      <c r="V11" s="142" t="str">
        <f>IF(Bordero!B18="","",Bordero!$C$3)</f>
        <v/>
      </c>
      <c r="W11" s="31"/>
      <c r="X11" s="31" t="str">
        <f>IF(Bordero!B18="","",Bordero!K18)</f>
        <v/>
      </c>
      <c r="Y11" s="31"/>
      <c r="Z11" s="31"/>
      <c r="AA11" s="31"/>
      <c r="AB11" s="31"/>
      <c r="AC11" s="31"/>
      <c r="AD11" s="31"/>
    </row>
    <row r="12" spans="1:30">
      <c r="A12" s="31" t="str">
        <f>IF(Bordero!B19="","",IF(Bordero!$E$3="Comissária",Bordero!$C$4,Bordero!C19))</f>
        <v/>
      </c>
      <c r="B12" s="31" t="str">
        <f>IF(Bordero!B19="","",Bordero!B19)</f>
        <v/>
      </c>
      <c r="C12" s="31" t="str">
        <f>IF(Bordero!B19="","",IF(Bordero!$E$3="Comissária",Bordero!G14,Bordero!G19))</f>
        <v/>
      </c>
      <c r="D12" s="47" t="str">
        <f>IF(Bordero!B19="","",Bordero!I19)</f>
        <v/>
      </c>
      <c r="E12" s="31" t="str">
        <f>IF(Bordero!B19="","",Bordero!F19)</f>
        <v/>
      </c>
      <c r="F12" s="31"/>
      <c r="G12" s="31" t="str">
        <f>IF(Bordero!B19="","",Bordero!D19)</f>
        <v/>
      </c>
      <c r="H12" s="31"/>
      <c r="I12" s="110" t="str">
        <f>IF(Bordero!B19="","",5%)</f>
        <v/>
      </c>
      <c r="J12" s="110" t="str">
        <f>IF(Bordero!B19="","",2%)</f>
        <v/>
      </c>
      <c r="K12" s="111" t="str">
        <f>IF(Bordero!B19="","",90)</f>
        <v/>
      </c>
      <c r="L12" s="31"/>
      <c r="M12" s="37"/>
      <c r="N12" s="31"/>
      <c r="O12" s="37"/>
      <c r="P12" s="31"/>
      <c r="Q12" s="37"/>
      <c r="R12" s="31"/>
      <c r="S12" s="31"/>
      <c r="T12" s="31" t="str">
        <f>IF(Bordero!B19="","","several")</f>
        <v/>
      </c>
      <c r="U12" s="31" t="str">
        <f>IF(Bordero!B19="","",Bordero!$C$4)</f>
        <v/>
      </c>
      <c r="V12" s="142" t="str">
        <f>IF(Bordero!B19="","",Bordero!$C$3)</f>
        <v/>
      </c>
      <c r="W12" s="31"/>
      <c r="X12" s="31" t="str">
        <f>IF(Bordero!B19="","",Bordero!K19)</f>
        <v/>
      </c>
      <c r="Y12" s="31"/>
      <c r="Z12" s="31"/>
      <c r="AA12" s="31"/>
      <c r="AB12" s="31"/>
      <c r="AC12" s="31"/>
      <c r="AD12" s="31"/>
    </row>
    <row r="13" spans="1:30">
      <c r="A13" s="31" t="str">
        <f>IF(Bordero!B20="","",IF(Bordero!$E$3="Comissária",Bordero!$C$4,Bordero!C20))</f>
        <v/>
      </c>
      <c r="B13" s="31" t="str">
        <f>IF(Bordero!B20="","",Bordero!B20)</f>
        <v/>
      </c>
      <c r="C13" s="31" t="str">
        <f>IF(Bordero!B20="","",IF(Bordero!$E$3="Comissária",Bordero!G15,Bordero!G20))</f>
        <v/>
      </c>
      <c r="D13" s="47" t="str">
        <f>IF(Bordero!B20="","",Bordero!I20)</f>
        <v/>
      </c>
      <c r="E13" s="31" t="str">
        <f>IF(Bordero!B20="","",Bordero!F20)</f>
        <v/>
      </c>
      <c r="F13" s="31"/>
      <c r="G13" s="31" t="str">
        <f>IF(Bordero!B20="","",Bordero!D20)</f>
        <v/>
      </c>
      <c r="H13" s="31"/>
      <c r="I13" s="110" t="str">
        <f>IF(Bordero!B20="","",5%)</f>
        <v/>
      </c>
      <c r="J13" s="110" t="str">
        <f>IF(Bordero!B20="","",2%)</f>
        <v/>
      </c>
      <c r="K13" s="111" t="str">
        <f>IF(Bordero!B20="","",90)</f>
        <v/>
      </c>
      <c r="L13" s="31"/>
      <c r="M13" s="37"/>
      <c r="N13" s="31"/>
      <c r="O13" s="37"/>
      <c r="P13" s="31"/>
      <c r="Q13" s="37"/>
      <c r="R13" s="31"/>
      <c r="S13" s="31"/>
      <c r="T13" s="31" t="str">
        <f>IF(Bordero!B20="","","several")</f>
        <v/>
      </c>
      <c r="U13" s="31" t="str">
        <f>IF(Bordero!B20="","",Bordero!$C$4)</f>
        <v/>
      </c>
      <c r="V13" s="142" t="str">
        <f>IF(Bordero!B20="","",Bordero!$C$3)</f>
        <v/>
      </c>
      <c r="W13" s="31"/>
      <c r="X13" s="31" t="str">
        <f>IF(Bordero!B20="","",Bordero!K20)</f>
        <v/>
      </c>
      <c r="Y13" s="31"/>
      <c r="Z13" s="31"/>
      <c r="AA13" s="31"/>
      <c r="AB13" s="31"/>
      <c r="AC13" s="31"/>
      <c r="AD13" s="31"/>
    </row>
    <row r="14" spans="1:30">
      <c r="A14" s="31" t="str">
        <f>IF(Bordero!B21="","",IF(Bordero!$E$3="Comissária",Bordero!$C$4,Bordero!C21))</f>
        <v/>
      </c>
      <c r="B14" s="31" t="str">
        <f>IF(Bordero!B21="","",Bordero!B21)</f>
        <v/>
      </c>
      <c r="C14" s="31" t="str">
        <f>IF(Bordero!B21="","",IF(Bordero!$E$3="Comissária",Bordero!G16,Bordero!G21))</f>
        <v/>
      </c>
      <c r="D14" s="47" t="str">
        <f>IF(Bordero!B21="","",Bordero!I21)</f>
        <v/>
      </c>
      <c r="E14" s="31" t="str">
        <f>IF(Bordero!B21="","",Bordero!F21)</f>
        <v/>
      </c>
      <c r="F14" s="31"/>
      <c r="G14" s="31" t="str">
        <f>IF(Bordero!B21="","",Bordero!D21)</f>
        <v/>
      </c>
      <c r="H14" s="31"/>
      <c r="I14" s="110" t="str">
        <f>IF(Bordero!B21="","",5%)</f>
        <v/>
      </c>
      <c r="J14" s="110" t="str">
        <f>IF(Bordero!B21="","",2%)</f>
        <v/>
      </c>
      <c r="K14" s="111" t="str">
        <f>IF(Bordero!B21="","",90)</f>
        <v/>
      </c>
      <c r="L14" s="31"/>
      <c r="M14" s="37"/>
      <c r="N14" s="31"/>
      <c r="O14" s="37"/>
      <c r="P14" s="31"/>
      <c r="Q14" s="37"/>
      <c r="R14" s="31"/>
      <c r="S14" s="31"/>
      <c r="T14" s="31" t="str">
        <f>IF(Bordero!B21="","","several")</f>
        <v/>
      </c>
      <c r="U14" s="31" t="str">
        <f>IF(Bordero!B21="","",Bordero!$C$4)</f>
        <v/>
      </c>
      <c r="V14" s="142" t="str">
        <f>IF(Bordero!B21="","",Bordero!$C$3)</f>
        <v/>
      </c>
      <c r="W14" s="31"/>
      <c r="X14" s="31" t="str">
        <f>IF(Bordero!B21="","",Bordero!K21)</f>
        <v/>
      </c>
      <c r="Y14" s="31"/>
      <c r="Z14" s="31"/>
      <c r="AA14" s="31"/>
      <c r="AB14" s="31"/>
      <c r="AC14" s="31"/>
      <c r="AD14" s="31"/>
    </row>
    <row r="15" spans="1:30">
      <c r="A15" s="31" t="str">
        <f>IF(Bordero!B22="","",IF(Bordero!$E$3="Comissária",Bordero!$C$4,Bordero!C22))</f>
        <v/>
      </c>
      <c r="B15" s="31" t="str">
        <f>IF(Bordero!B22="","",Bordero!B22)</f>
        <v/>
      </c>
      <c r="C15" s="31" t="str">
        <f>IF(Bordero!B22="","",IF(Bordero!$E$3="Comissária",Bordero!G17,Bordero!G22))</f>
        <v/>
      </c>
      <c r="D15" s="47" t="str">
        <f>IF(Bordero!B22="","",Bordero!I22)</f>
        <v/>
      </c>
      <c r="E15" s="31" t="str">
        <f>IF(Bordero!B22="","",Bordero!F22)</f>
        <v/>
      </c>
      <c r="F15" s="31"/>
      <c r="G15" s="31" t="str">
        <f>IF(Bordero!B22="","",Bordero!D22)</f>
        <v/>
      </c>
      <c r="H15" s="31"/>
      <c r="I15" s="110" t="str">
        <f>IF(Bordero!B22="","",5%)</f>
        <v/>
      </c>
      <c r="J15" s="110" t="str">
        <f>IF(Bordero!B22="","",2%)</f>
        <v/>
      </c>
      <c r="K15" s="111" t="str">
        <f>IF(Bordero!B22="","",90)</f>
        <v/>
      </c>
      <c r="L15" s="31"/>
      <c r="M15" s="37"/>
      <c r="N15" s="31"/>
      <c r="O15" s="37"/>
      <c r="P15" s="31"/>
      <c r="Q15" s="37"/>
      <c r="R15" s="31"/>
      <c r="S15" s="31"/>
      <c r="T15" s="31" t="str">
        <f>IF(Bordero!B22="","","several")</f>
        <v/>
      </c>
      <c r="U15" s="31" t="str">
        <f>IF(Bordero!B22="","",Bordero!$C$4)</f>
        <v/>
      </c>
      <c r="V15" s="142" t="str">
        <f>IF(Bordero!B22="","",Bordero!$C$3)</f>
        <v/>
      </c>
      <c r="W15" s="31"/>
      <c r="X15" s="31" t="str">
        <f>IF(Bordero!B22="","",Bordero!K22)</f>
        <v/>
      </c>
      <c r="Y15" s="31"/>
      <c r="Z15" s="31"/>
      <c r="AA15" s="31"/>
      <c r="AB15" s="31"/>
      <c r="AC15" s="31"/>
      <c r="AD15" s="31"/>
    </row>
    <row r="16" spans="1:30">
      <c r="A16" s="31" t="str">
        <f>IF(Bordero!B23="","",IF(Bordero!$E$3="Comissária",Bordero!$C$4,Bordero!C23))</f>
        <v/>
      </c>
      <c r="B16" s="31" t="str">
        <f>IF(Bordero!B23="","",Bordero!B23)</f>
        <v/>
      </c>
      <c r="C16" s="31" t="str">
        <f>IF(Bordero!B23="","",IF(Bordero!$E$3="Comissária",Bordero!G18,Bordero!G23))</f>
        <v/>
      </c>
      <c r="D16" s="47" t="str">
        <f>IF(Bordero!B23="","",Bordero!I23)</f>
        <v/>
      </c>
      <c r="E16" s="31" t="str">
        <f>IF(Bordero!B23="","",Bordero!F23)</f>
        <v/>
      </c>
      <c r="F16" s="31"/>
      <c r="G16" s="31" t="str">
        <f>IF(Bordero!B23="","",Bordero!D23)</f>
        <v/>
      </c>
      <c r="H16" s="31"/>
      <c r="I16" s="110" t="str">
        <f>IF(Bordero!B23="","",5%)</f>
        <v/>
      </c>
      <c r="J16" s="110" t="str">
        <f>IF(Bordero!B23="","",2%)</f>
        <v/>
      </c>
      <c r="K16" s="111" t="str">
        <f>IF(Bordero!B23="","",90)</f>
        <v/>
      </c>
      <c r="L16" s="31"/>
      <c r="M16" s="37"/>
      <c r="N16" s="31"/>
      <c r="O16" s="37"/>
      <c r="P16" s="31"/>
      <c r="Q16" s="37"/>
      <c r="R16" s="31"/>
      <c r="S16" s="31"/>
      <c r="T16" s="31" t="str">
        <f>IF(Bordero!B23="","","several")</f>
        <v/>
      </c>
      <c r="U16" s="31" t="str">
        <f>IF(Bordero!B23="","",Bordero!$C$4)</f>
        <v/>
      </c>
      <c r="V16" s="142" t="str">
        <f>IF(Bordero!B23="","",Bordero!$C$3)</f>
        <v/>
      </c>
      <c r="W16" s="31"/>
      <c r="X16" s="31" t="str">
        <f>IF(Bordero!B23="","",Bordero!K23)</f>
        <v/>
      </c>
      <c r="Y16" s="31"/>
      <c r="Z16" s="31"/>
      <c r="AA16" s="31"/>
      <c r="AB16" s="31"/>
      <c r="AC16" s="31"/>
      <c r="AD16" s="31"/>
    </row>
    <row r="17" spans="1:30">
      <c r="A17" s="31" t="str">
        <f>IF(Bordero!B24="","",IF(Bordero!$E$3="Comissária",Bordero!$C$4,Bordero!C24))</f>
        <v/>
      </c>
      <c r="B17" s="31" t="str">
        <f>IF(Bordero!B24="","",Bordero!B24)</f>
        <v/>
      </c>
      <c r="C17" s="31" t="str">
        <f>IF(Bordero!B24="","",IF(Bordero!$E$3="Comissária",Bordero!G19,Bordero!G24))</f>
        <v/>
      </c>
      <c r="D17" s="47" t="str">
        <f>IF(Bordero!B24="","",Bordero!I24)</f>
        <v/>
      </c>
      <c r="E17" s="31" t="str">
        <f>IF(Bordero!B24="","",Bordero!F24)</f>
        <v/>
      </c>
      <c r="F17" s="31"/>
      <c r="G17" s="31" t="str">
        <f>IF(Bordero!B24="","",Bordero!D24)</f>
        <v/>
      </c>
      <c r="H17" s="31"/>
      <c r="I17" s="110" t="str">
        <f>IF(Bordero!B24="","",5%)</f>
        <v/>
      </c>
      <c r="J17" s="110" t="str">
        <f>IF(Bordero!B24="","",2%)</f>
        <v/>
      </c>
      <c r="K17" s="111" t="str">
        <f>IF(Bordero!B24="","",90)</f>
        <v/>
      </c>
      <c r="L17" s="31"/>
      <c r="M17" s="37"/>
      <c r="N17" s="31"/>
      <c r="O17" s="37"/>
      <c r="P17" s="31"/>
      <c r="Q17" s="37"/>
      <c r="R17" s="31"/>
      <c r="S17" s="31"/>
      <c r="T17" s="31" t="str">
        <f>IF(Bordero!B24="","","several")</f>
        <v/>
      </c>
      <c r="U17" s="31" t="str">
        <f>IF(Bordero!B24="","",Bordero!$C$4)</f>
        <v/>
      </c>
      <c r="V17" s="142" t="str">
        <f>IF(Bordero!B24="","",Bordero!$C$3)</f>
        <v/>
      </c>
      <c r="W17" s="31"/>
      <c r="X17" s="31" t="str">
        <f>IF(Bordero!B24="","",Bordero!K24)</f>
        <v/>
      </c>
      <c r="Y17" s="31"/>
      <c r="Z17" s="31"/>
      <c r="AA17" s="31"/>
      <c r="AB17" s="31"/>
      <c r="AC17" s="31"/>
      <c r="AD17" s="31"/>
    </row>
    <row r="18" spans="1:30">
      <c r="A18" s="31" t="str">
        <f>IF(Bordero!B25="","",IF(Bordero!$E$3="Comissária",Bordero!$C$4,Bordero!C25))</f>
        <v/>
      </c>
      <c r="B18" s="31" t="str">
        <f>IF(Bordero!B25="","",Bordero!B25)</f>
        <v/>
      </c>
      <c r="C18" s="31" t="str">
        <f>IF(Bordero!B25="","",IF(Bordero!$E$3="Comissária",Bordero!G20,Bordero!G25))</f>
        <v/>
      </c>
      <c r="D18" s="47" t="str">
        <f>IF(Bordero!B25="","",Bordero!I25)</f>
        <v/>
      </c>
      <c r="E18" s="31" t="str">
        <f>IF(Bordero!B25="","",Bordero!F25)</f>
        <v/>
      </c>
      <c r="F18" s="31"/>
      <c r="G18" s="31" t="str">
        <f>IF(Bordero!B25="","",Bordero!D25)</f>
        <v/>
      </c>
      <c r="H18" s="31"/>
      <c r="I18" s="110" t="str">
        <f>IF(Bordero!B25="","",5%)</f>
        <v/>
      </c>
      <c r="J18" s="110" t="str">
        <f>IF(Bordero!B25="","",2%)</f>
        <v/>
      </c>
      <c r="K18" s="111" t="str">
        <f>IF(Bordero!B25="","",90)</f>
        <v/>
      </c>
      <c r="L18" s="31"/>
      <c r="M18" s="37"/>
      <c r="N18" s="31"/>
      <c r="O18" s="37"/>
      <c r="P18" s="31"/>
      <c r="Q18" s="37"/>
      <c r="R18" s="31"/>
      <c r="S18" s="31"/>
      <c r="T18" s="31" t="str">
        <f>IF(Bordero!B25="","","several")</f>
        <v/>
      </c>
      <c r="U18" s="31" t="str">
        <f>IF(Bordero!B25="","",Bordero!$C$4)</f>
        <v/>
      </c>
      <c r="V18" s="142" t="str">
        <f>IF(Bordero!B25="","",Bordero!$C$3)</f>
        <v/>
      </c>
      <c r="W18" s="31"/>
      <c r="X18" s="31" t="str">
        <f>IF(Bordero!B25="","",Bordero!K25)</f>
        <v/>
      </c>
      <c r="Y18" s="31"/>
      <c r="Z18" s="31"/>
      <c r="AA18" s="31"/>
      <c r="AB18" s="31"/>
      <c r="AC18" s="31"/>
      <c r="AD18" s="31"/>
    </row>
    <row r="19" spans="1:30">
      <c r="A19" s="31" t="str">
        <f>IF(Bordero!B26="","",IF(Bordero!$E$3="Comissária",Bordero!$C$4,Bordero!C26))</f>
        <v/>
      </c>
      <c r="B19" s="31" t="str">
        <f>IF(Bordero!B26="","",Bordero!B26)</f>
        <v/>
      </c>
      <c r="C19" s="31" t="str">
        <f>IF(Bordero!B26="","",IF(Bordero!$E$3="Comissária",Bordero!G21,Bordero!G26))</f>
        <v/>
      </c>
      <c r="D19" s="47" t="str">
        <f>IF(Bordero!B26="","",Bordero!I26)</f>
        <v/>
      </c>
      <c r="E19" s="31" t="str">
        <f>IF(Bordero!B26="","",Bordero!F26)</f>
        <v/>
      </c>
      <c r="F19" s="31"/>
      <c r="G19" s="31" t="str">
        <f>IF(Bordero!B26="","",Bordero!D26)</f>
        <v/>
      </c>
      <c r="H19" s="31"/>
      <c r="I19" s="110" t="str">
        <f>IF(Bordero!B26="","",5%)</f>
        <v/>
      </c>
      <c r="J19" s="110" t="str">
        <f>IF(Bordero!B26="","",2%)</f>
        <v/>
      </c>
      <c r="K19" s="111" t="str">
        <f>IF(Bordero!B26="","",90)</f>
        <v/>
      </c>
      <c r="L19" s="31"/>
      <c r="M19" s="37"/>
      <c r="N19" s="31"/>
      <c r="O19" s="37"/>
      <c r="P19" s="31"/>
      <c r="Q19" s="37"/>
      <c r="R19" s="31"/>
      <c r="S19" s="31"/>
      <c r="T19" s="31" t="str">
        <f>IF(Bordero!B26="","","several")</f>
        <v/>
      </c>
      <c r="U19" s="31" t="str">
        <f>IF(Bordero!B26="","",Bordero!$C$4)</f>
        <v/>
      </c>
      <c r="V19" s="142" t="str">
        <f>IF(Bordero!B26="","",Bordero!$C$3)</f>
        <v/>
      </c>
      <c r="W19" s="31"/>
      <c r="X19" s="31" t="str">
        <f>IF(Bordero!B26="","",Bordero!K26)</f>
        <v/>
      </c>
      <c r="Y19" s="31"/>
      <c r="Z19" s="31"/>
      <c r="AA19" s="31"/>
      <c r="AB19" s="31"/>
      <c r="AC19" s="31"/>
      <c r="AD19" s="31"/>
    </row>
    <row r="20" spans="1:30">
      <c r="A20" s="31" t="str">
        <f>IF(Bordero!B27="","",IF(Bordero!$E$3="Comissária",Bordero!$C$4,Bordero!C27))</f>
        <v/>
      </c>
      <c r="B20" s="31" t="str">
        <f>IF(Bordero!B27="","",Bordero!B27)</f>
        <v/>
      </c>
      <c r="C20" s="31" t="str">
        <f>IF(Bordero!B27="","",IF(Bordero!$E$3="Comissária",Bordero!G22,Bordero!G27))</f>
        <v/>
      </c>
      <c r="D20" s="47" t="str">
        <f>IF(Bordero!B27="","",Bordero!I27)</f>
        <v/>
      </c>
      <c r="E20" s="31" t="str">
        <f>IF(Bordero!B27="","",Bordero!F27)</f>
        <v/>
      </c>
      <c r="F20" s="31"/>
      <c r="G20" s="31" t="str">
        <f>IF(Bordero!B27="","",Bordero!D27)</f>
        <v/>
      </c>
      <c r="H20" s="31"/>
      <c r="I20" s="110" t="str">
        <f>IF(Bordero!B27="","",5%)</f>
        <v/>
      </c>
      <c r="J20" s="110" t="str">
        <f>IF(Bordero!B27="","",2%)</f>
        <v/>
      </c>
      <c r="K20" s="111" t="str">
        <f>IF(Bordero!B27="","",90)</f>
        <v/>
      </c>
      <c r="L20" s="31"/>
      <c r="M20" s="37"/>
      <c r="N20" s="31"/>
      <c r="O20" s="37"/>
      <c r="P20" s="31"/>
      <c r="Q20" s="37"/>
      <c r="R20" s="31"/>
      <c r="S20" s="31"/>
      <c r="T20" s="31" t="str">
        <f>IF(Bordero!B27="","","several")</f>
        <v/>
      </c>
      <c r="U20" s="31" t="str">
        <f>IF(Bordero!B27="","",Bordero!$C$4)</f>
        <v/>
      </c>
      <c r="V20" s="142" t="str">
        <f>IF(Bordero!B27="","",Bordero!$C$3)</f>
        <v/>
      </c>
      <c r="W20" s="31"/>
      <c r="X20" s="31" t="str">
        <f>IF(Bordero!B27="","",Bordero!K27)</f>
        <v/>
      </c>
      <c r="Y20" s="31"/>
      <c r="Z20" s="31"/>
      <c r="AA20" s="31"/>
      <c r="AB20" s="31"/>
      <c r="AC20" s="31"/>
      <c r="AD20" s="31"/>
    </row>
    <row r="21" spans="1:30">
      <c r="A21" s="31" t="str">
        <f>IF(Bordero!B28="","",IF(Bordero!$E$3="Comissária",Bordero!$C$4,Bordero!C28))</f>
        <v/>
      </c>
      <c r="B21" s="31" t="str">
        <f>IF(Bordero!B28="","",Bordero!B28)</f>
        <v/>
      </c>
      <c r="C21" s="31" t="str">
        <f>IF(Bordero!B28="","",IF(Bordero!$E$3="Comissária",Bordero!G23,Bordero!G28))</f>
        <v/>
      </c>
      <c r="D21" s="47" t="str">
        <f>IF(Bordero!B28="","",Bordero!I28)</f>
        <v/>
      </c>
      <c r="E21" s="31" t="str">
        <f>IF(Bordero!B28="","",Bordero!F28)</f>
        <v/>
      </c>
      <c r="F21" s="31"/>
      <c r="G21" s="31" t="str">
        <f>IF(Bordero!B28="","",Bordero!D28)</f>
        <v/>
      </c>
      <c r="H21" s="31"/>
      <c r="I21" s="110" t="str">
        <f>IF(Bordero!B28="","",5%)</f>
        <v/>
      </c>
      <c r="J21" s="110" t="str">
        <f>IF(Bordero!B28="","",2%)</f>
        <v/>
      </c>
      <c r="K21" s="111" t="str">
        <f>IF(Bordero!B28="","",90)</f>
        <v/>
      </c>
      <c r="L21" s="31"/>
      <c r="M21" s="37"/>
      <c r="N21" s="31"/>
      <c r="O21" s="37"/>
      <c r="P21" s="31"/>
      <c r="Q21" s="37"/>
      <c r="R21" s="31"/>
      <c r="S21" s="31"/>
      <c r="T21" s="31" t="str">
        <f>IF(Bordero!B28="","","several")</f>
        <v/>
      </c>
      <c r="U21" s="31" t="str">
        <f>IF(Bordero!B28="","",Bordero!$C$4)</f>
        <v/>
      </c>
      <c r="V21" s="142" t="str">
        <f>IF(Bordero!B28="","",Bordero!$C$3)</f>
        <v/>
      </c>
      <c r="W21" s="31"/>
      <c r="X21" s="31" t="str">
        <f>IF(Bordero!B28="","",Bordero!K28)</f>
        <v/>
      </c>
      <c r="Y21" s="31"/>
      <c r="Z21" s="31"/>
      <c r="AA21" s="31"/>
      <c r="AB21" s="31"/>
      <c r="AC21" s="31"/>
      <c r="AD21" s="31"/>
    </row>
    <row r="22" spans="1:30">
      <c r="A22" s="31" t="str">
        <f>IF(Bordero!B29="","",IF(Bordero!$E$3="Comissária",Bordero!$C$4,Bordero!C29))</f>
        <v/>
      </c>
      <c r="B22" s="31" t="str">
        <f>IF(Bordero!B29="","",Bordero!B29)</f>
        <v/>
      </c>
      <c r="C22" s="31" t="str">
        <f>IF(Bordero!B29="","",IF(Bordero!$E$3="Comissária",Bordero!G24,Bordero!G29))</f>
        <v/>
      </c>
      <c r="D22" s="47" t="str">
        <f>IF(Bordero!B29="","",Bordero!I29)</f>
        <v/>
      </c>
      <c r="E22" s="31" t="str">
        <f>IF(Bordero!B29="","",Bordero!F29)</f>
        <v/>
      </c>
      <c r="F22" s="31"/>
      <c r="G22" s="31" t="str">
        <f>IF(Bordero!B29="","",Bordero!D29)</f>
        <v/>
      </c>
      <c r="H22" s="31"/>
      <c r="I22" s="110" t="str">
        <f>IF(Bordero!B29="","",5%)</f>
        <v/>
      </c>
      <c r="J22" s="110" t="str">
        <f>IF(Bordero!B29="","",2%)</f>
        <v/>
      </c>
      <c r="K22" s="111" t="str">
        <f>IF(Bordero!B29="","",90)</f>
        <v/>
      </c>
      <c r="L22" s="31"/>
      <c r="M22" s="37"/>
      <c r="N22" s="31"/>
      <c r="O22" s="37"/>
      <c r="P22" s="31"/>
      <c r="Q22" s="37"/>
      <c r="R22" s="31"/>
      <c r="S22" s="31"/>
      <c r="T22" s="31" t="str">
        <f>IF(Bordero!B29="","","several")</f>
        <v/>
      </c>
      <c r="U22" s="31" t="str">
        <f>IF(Bordero!B29="","",Bordero!$C$4)</f>
        <v/>
      </c>
      <c r="V22" s="142" t="str">
        <f>IF(Bordero!B29="","",Bordero!$C$3)</f>
        <v/>
      </c>
      <c r="W22" s="31"/>
      <c r="X22" s="31" t="str">
        <f>IF(Bordero!B29="","",Bordero!K29)</f>
        <v/>
      </c>
      <c r="Y22" s="31"/>
      <c r="Z22" s="31"/>
      <c r="AA22" s="31"/>
      <c r="AB22" s="31"/>
      <c r="AC22" s="31"/>
      <c r="AD22" s="31"/>
    </row>
    <row r="23" spans="1:30">
      <c r="A23" s="31" t="str">
        <f>IF(Bordero!B30="","",IF(Bordero!$E$3="Comissária",Bordero!$C$4,Bordero!C30))</f>
        <v/>
      </c>
      <c r="B23" s="31" t="str">
        <f>IF(Bordero!B30="","",Bordero!B30)</f>
        <v/>
      </c>
      <c r="C23" s="31" t="str">
        <f>IF(Bordero!B30="","",IF(Bordero!$E$3="Comissária",Bordero!G25,Bordero!G30))</f>
        <v/>
      </c>
      <c r="D23" s="47" t="str">
        <f>IF(Bordero!B30="","",Bordero!I30)</f>
        <v/>
      </c>
      <c r="E23" s="31" t="str">
        <f>IF(Bordero!B30="","",Bordero!F30)</f>
        <v/>
      </c>
      <c r="F23" s="31"/>
      <c r="G23" s="31" t="str">
        <f>IF(Bordero!B30="","",Bordero!D30)</f>
        <v/>
      </c>
      <c r="H23" s="31"/>
      <c r="I23" s="110" t="str">
        <f>IF(Bordero!B30="","",5%)</f>
        <v/>
      </c>
      <c r="J23" s="110" t="str">
        <f>IF(Bordero!B30="","",2%)</f>
        <v/>
      </c>
      <c r="K23" s="111" t="str">
        <f>IF(Bordero!B30="","",90)</f>
        <v/>
      </c>
      <c r="L23" s="31"/>
      <c r="M23" s="37"/>
      <c r="N23" s="31"/>
      <c r="O23" s="37"/>
      <c r="P23" s="31"/>
      <c r="Q23" s="37"/>
      <c r="R23" s="31"/>
      <c r="S23" s="31"/>
      <c r="T23" s="31" t="str">
        <f>IF(Bordero!B30="","","several")</f>
        <v/>
      </c>
      <c r="U23" s="31" t="str">
        <f>IF(Bordero!B30="","",Bordero!$C$4)</f>
        <v/>
      </c>
      <c r="V23" s="142" t="str">
        <f>IF(Bordero!B30="","",Bordero!$C$3)</f>
        <v/>
      </c>
      <c r="W23" s="31"/>
      <c r="X23" s="31" t="str">
        <f>IF(Bordero!B30="","",Bordero!K30)</f>
        <v/>
      </c>
      <c r="Y23" s="31"/>
      <c r="Z23" s="31"/>
      <c r="AA23" s="31"/>
      <c r="AB23" s="31"/>
      <c r="AC23" s="31"/>
      <c r="AD23" s="31"/>
    </row>
    <row r="24" spans="1:30">
      <c r="A24" s="31" t="str">
        <f>IF(Bordero!B31="","",IF(Bordero!$E$3="Comissária",Bordero!$C$4,Bordero!C31))</f>
        <v/>
      </c>
      <c r="B24" s="31" t="str">
        <f>IF(Bordero!B31="","",Bordero!B31)</f>
        <v/>
      </c>
      <c r="C24" s="31" t="str">
        <f>IF(Bordero!B31="","",IF(Bordero!$E$3="Comissária",Bordero!G26,Bordero!G31))</f>
        <v/>
      </c>
      <c r="D24" s="47" t="str">
        <f>IF(Bordero!B31="","",Bordero!I31)</f>
        <v/>
      </c>
      <c r="E24" s="31" t="str">
        <f>IF(Bordero!B31="","",Bordero!F31)</f>
        <v/>
      </c>
      <c r="F24" s="31"/>
      <c r="G24" s="31" t="str">
        <f>IF(Bordero!B31="","",Bordero!D31)</f>
        <v/>
      </c>
      <c r="H24" s="31"/>
      <c r="I24" s="110" t="str">
        <f>IF(Bordero!B31="","",5%)</f>
        <v/>
      </c>
      <c r="J24" s="110" t="str">
        <f>IF(Bordero!B31="","",2%)</f>
        <v/>
      </c>
      <c r="K24" s="111" t="str">
        <f>IF(Bordero!B31="","",90)</f>
        <v/>
      </c>
      <c r="L24" s="31"/>
      <c r="M24" s="37"/>
      <c r="N24" s="31"/>
      <c r="O24" s="37"/>
      <c r="P24" s="31"/>
      <c r="Q24" s="37"/>
      <c r="R24" s="31"/>
      <c r="S24" s="31"/>
      <c r="T24" s="31" t="str">
        <f>IF(Bordero!B31="","","several")</f>
        <v/>
      </c>
      <c r="U24" s="31" t="str">
        <f>IF(Bordero!B31="","",Bordero!$C$4)</f>
        <v/>
      </c>
      <c r="V24" s="142" t="str">
        <f>IF(Bordero!B31="","",Bordero!$C$3)</f>
        <v/>
      </c>
      <c r="W24" s="31"/>
      <c r="X24" s="31" t="str">
        <f>IF(Bordero!B31="","",Bordero!K31)</f>
        <v/>
      </c>
      <c r="Y24" s="31"/>
      <c r="Z24" s="31"/>
      <c r="AA24" s="31"/>
      <c r="AB24" s="31"/>
      <c r="AC24" s="31"/>
      <c r="AD24" s="31"/>
    </row>
    <row r="25" spans="1:30">
      <c r="A25" s="31" t="str">
        <f>IF(Bordero!B32="","",IF(Bordero!$E$3="Comissária",Bordero!$C$4,Bordero!C32))</f>
        <v/>
      </c>
      <c r="B25" s="31" t="str">
        <f>IF(Bordero!B32="","",Bordero!B32)</f>
        <v/>
      </c>
      <c r="C25" s="31" t="str">
        <f>IF(Bordero!B32="","",IF(Bordero!$E$3="Comissária",Bordero!G27,Bordero!G32))</f>
        <v/>
      </c>
      <c r="D25" s="47" t="str">
        <f>IF(Bordero!B32="","",Bordero!I32)</f>
        <v/>
      </c>
      <c r="E25" s="31" t="str">
        <f>IF(Bordero!B32="","",Bordero!F32)</f>
        <v/>
      </c>
      <c r="F25" s="31"/>
      <c r="G25" s="31" t="str">
        <f>IF(Bordero!B32="","",Bordero!D32)</f>
        <v/>
      </c>
      <c r="H25" s="31"/>
      <c r="I25" s="110" t="str">
        <f>IF(Bordero!B32="","",5%)</f>
        <v/>
      </c>
      <c r="J25" s="110" t="str">
        <f>IF(Bordero!B32="","",2%)</f>
        <v/>
      </c>
      <c r="K25" s="111" t="str">
        <f>IF(Bordero!B32="","",90)</f>
        <v/>
      </c>
      <c r="L25" s="31"/>
      <c r="M25" s="37"/>
      <c r="N25" s="31"/>
      <c r="O25" s="37"/>
      <c r="P25" s="31"/>
      <c r="Q25" s="37"/>
      <c r="R25" s="31"/>
      <c r="S25" s="31"/>
      <c r="T25" s="31" t="str">
        <f>IF(Bordero!B32="","","several")</f>
        <v/>
      </c>
      <c r="U25" s="31" t="str">
        <f>IF(Bordero!B32="","",Bordero!$C$4)</f>
        <v/>
      </c>
      <c r="V25" s="142" t="str">
        <f>IF(Bordero!B32="","",Bordero!$C$3)</f>
        <v/>
      </c>
      <c r="W25" s="31"/>
      <c r="X25" s="31" t="str">
        <f>IF(Bordero!B32="","",Bordero!K32)</f>
        <v/>
      </c>
      <c r="Y25" s="31"/>
      <c r="Z25" s="31"/>
      <c r="AA25" s="31"/>
      <c r="AB25" s="31"/>
      <c r="AC25" s="31"/>
      <c r="AD25" s="31"/>
    </row>
    <row r="26" spans="1:30">
      <c r="A26" s="31" t="str">
        <f>IF(Bordero!B33="","",IF(Bordero!$E$3="Comissária",Bordero!$C$4,Bordero!C33))</f>
        <v/>
      </c>
      <c r="B26" s="31" t="str">
        <f>IF(Bordero!B33="","",Bordero!B33)</f>
        <v/>
      </c>
      <c r="C26" s="31" t="str">
        <f>IF(Bordero!B33="","",IF(Bordero!$E$3="Comissária",Bordero!G28,Bordero!G33))</f>
        <v/>
      </c>
      <c r="D26" s="47" t="str">
        <f>IF(Bordero!B33="","",Bordero!I33)</f>
        <v/>
      </c>
      <c r="E26" s="31" t="str">
        <f>IF(Bordero!B33="","",Bordero!F33)</f>
        <v/>
      </c>
      <c r="F26" s="31"/>
      <c r="G26" s="31" t="str">
        <f>IF(Bordero!B33="","",Bordero!D33)</f>
        <v/>
      </c>
      <c r="H26" s="31"/>
      <c r="I26" s="110" t="str">
        <f>IF(Bordero!B33="","",5%)</f>
        <v/>
      </c>
      <c r="J26" s="110" t="str">
        <f>IF(Bordero!B33="","",2%)</f>
        <v/>
      </c>
      <c r="K26" s="111" t="str">
        <f>IF(Bordero!B33="","",90)</f>
        <v/>
      </c>
      <c r="L26" s="31"/>
      <c r="M26" s="37"/>
      <c r="N26" s="31"/>
      <c r="O26" s="37"/>
      <c r="P26" s="31"/>
      <c r="Q26" s="37"/>
      <c r="R26" s="31"/>
      <c r="S26" s="31"/>
      <c r="T26" s="31" t="str">
        <f>IF(Bordero!B33="","","several")</f>
        <v/>
      </c>
      <c r="U26" s="31" t="str">
        <f>IF(Bordero!B33="","",Bordero!$C$4)</f>
        <v/>
      </c>
      <c r="V26" s="142" t="str">
        <f>IF(Bordero!B33="","",Bordero!$C$3)</f>
        <v/>
      </c>
      <c r="W26" s="31"/>
      <c r="X26" s="31" t="str">
        <f>IF(Bordero!B33="","",Bordero!K33)</f>
        <v/>
      </c>
      <c r="Y26" s="31"/>
      <c r="Z26" s="31"/>
      <c r="AA26" s="31"/>
      <c r="AB26" s="31"/>
      <c r="AC26" s="31"/>
      <c r="AD26" s="31"/>
    </row>
    <row r="27" spans="1:30">
      <c r="A27" s="31" t="str">
        <f>IF(Bordero!B34="","",IF(Bordero!$E$3="Comissária",Bordero!$C$4,Bordero!C34))</f>
        <v/>
      </c>
      <c r="B27" s="31" t="str">
        <f>IF(Bordero!B34="","",Bordero!B34)</f>
        <v/>
      </c>
      <c r="C27" s="31" t="str">
        <f>IF(Bordero!B34="","",IF(Bordero!$E$3="Comissária",Bordero!G29,Bordero!G34))</f>
        <v/>
      </c>
      <c r="D27" s="47" t="str">
        <f>IF(Bordero!B34="","",Bordero!I34)</f>
        <v/>
      </c>
      <c r="E27" s="31" t="str">
        <f>IF(Bordero!B34="","",Bordero!F34)</f>
        <v/>
      </c>
      <c r="F27" s="31"/>
      <c r="G27" s="31" t="str">
        <f>IF(Bordero!B34="","",Bordero!D34)</f>
        <v/>
      </c>
      <c r="H27" s="31"/>
      <c r="I27" s="110" t="str">
        <f>IF(Bordero!B34="","",5%)</f>
        <v/>
      </c>
      <c r="J27" s="110" t="str">
        <f>IF(Bordero!B34="","",2%)</f>
        <v/>
      </c>
      <c r="K27" s="111" t="str">
        <f>IF(Bordero!B34="","",90)</f>
        <v/>
      </c>
      <c r="L27" s="31"/>
      <c r="M27" s="37"/>
      <c r="N27" s="31"/>
      <c r="O27" s="37"/>
      <c r="P27" s="31"/>
      <c r="Q27" s="37"/>
      <c r="R27" s="31"/>
      <c r="S27" s="31"/>
      <c r="T27" s="31" t="str">
        <f>IF(Bordero!B34="","","several")</f>
        <v/>
      </c>
      <c r="U27" s="31" t="str">
        <f>IF(Bordero!B34="","",Bordero!$C$4)</f>
        <v/>
      </c>
      <c r="V27" s="142" t="str">
        <f>IF(Bordero!B34="","",Bordero!$C$3)</f>
        <v/>
      </c>
      <c r="W27" s="31"/>
      <c r="X27" s="31" t="str">
        <f>IF(Bordero!B34="","",Bordero!K34)</f>
        <v/>
      </c>
      <c r="Y27" s="31"/>
      <c r="Z27" s="31"/>
      <c r="AA27" s="31"/>
      <c r="AB27" s="31"/>
      <c r="AC27" s="31"/>
      <c r="AD27" s="31"/>
    </row>
    <row r="28" spans="1:30">
      <c r="A28" s="31" t="str">
        <f>IF(Bordero!B35="","",IF(Bordero!$E$3="Comissária",Bordero!$C$4,Bordero!C35))</f>
        <v/>
      </c>
      <c r="B28" s="31" t="str">
        <f>IF(Bordero!B35="","",Bordero!B35)</f>
        <v/>
      </c>
      <c r="C28" s="31" t="str">
        <f>IF(Bordero!B35="","",IF(Bordero!$E$3="Comissária",Bordero!G30,Bordero!G35))</f>
        <v/>
      </c>
      <c r="D28" s="47" t="str">
        <f>IF(Bordero!B35="","",Bordero!I35)</f>
        <v/>
      </c>
      <c r="E28" s="31" t="str">
        <f>IF(Bordero!B35="","",Bordero!F35)</f>
        <v/>
      </c>
      <c r="F28" s="31"/>
      <c r="G28" s="31" t="str">
        <f>IF(Bordero!B35="","",Bordero!D35)</f>
        <v/>
      </c>
      <c r="H28" s="31"/>
      <c r="I28" s="110" t="str">
        <f>IF(Bordero!B35="","",5%)</f>
        <v/>
      </c>
      <c r="J28" s="110" t="str">
        <f>IF(Bordero!B35="","",2%)</f>
        <v/>
      </c>
      <c r="K28" s="111" t="str">
        <f>IF(Bordero!B35="","",90)</f>
        <v/>
      </c>
      <c r="L28" s="31"/>
      <c r="M28" s="37"/>
      <c r="N28" s="31"/>
      <c r="O28" s="37"/>
      <c r="P28" s="31"/>
      <c r="Q28" s="37"/>
      <c r="R28" s="31"/>
      <c r="S28" s="31"/>
      <c r="T28" s="31" t="str">
        <f>IF(Bordero!B35="","","several")</f>
        <v/>
      </c>
      <c r="U28" s="31" t="str">
        <f>IF(Bordero!B35="","",Bordero!$C$4)</f>
        <v/>
      </c>
      <c r="V28" s="142" t="str">
        <f>IF(Bordero!B35="","",Bordero!$C$3)</f>
        <v/>
      </c>
      <c r="W28" s="31"/>
      <c r="X28" s="31" t="str">
        <f>IF(Bordero!B35="","",Bordero!K35)</f>
        <v/>
      </c>
      <c r="Y28" s="31"/>
      <c r="Z28" s="31"/>
      <c r="AA28" s="31"/>
      <c r="AB28" s="31"/>
      <c r="AC28" s="31"/>
      <c r="AD28" s="31"/>
    </row>
    <row r="29" spans="1:30">
      <c r="A29" s="31" t="str">
        <f>IF(Bordero!B36="","",IF(Bordero!$E$3="Comissária",Bordero!$C$4,Bordero!C36))</f>
        <v/>
      </c>
      <c r="B29" s="31" t="str">
        <f>IF(Bordero!B36="","",Bordero!B36)</f>
        <v/>
      </c>
      <c r="C29" s="31" t="str">
        <f>IF(Bordero!B36="","",IF(Bordero!$E$3="Comissária",Bordero!G31,Bordero!G36))</f>
        <v/>
      </c>
      <c r="D29" s="47" t="str">
        <f>IF(Bordero!B36="","",Bordero!I36)</f>
        <v/>
      </c>
      <c r="E29" s="31" t="str">
        <f>IF(Bordero!B36="","",Bordero!F36)</f>
        <v/>
      </c>
      <c r="F29" s="31"/>
      <c r="G29" s="31" t="str">
        <f>IF(Bordero!B36="","",Bordero!D36)</f>
        <v/>
      </c>
      <c r="H29" s="31"/>
      <c r="I29" s="110" t="str">
        <f>IF(Bordero!B36="","",5%)</f>
        <v/>
      </c>
      <c r="J29" s="110" t="str">
        <f>IF(Bordero!B36="","",2%)</f>
        <v/>
      </c>
      <c r="K29" s="111" t="str">
        <f>IF(Bordero!B36="","",90)</f>
        <v/>
      </c>
      <c r="L29" s="31"/>
      <c r="M29" s="37"/>
      <c r="N29" s="31"/>
      <c r="O29" s="37"/>
      <c r="P29" s="31"/>
      <c r="Q29" s="37"/>
      <c r="R29" s="31"/>
      <c r="S29" s="31"/>
      <c r="T29" s="31" t="str">
        <f>IF(Bordero!B36="","","several")</f>
        <v/>
      </c>
      <c r="U29" s="31" t="str">
        <f>IF(Bordero!B36="","",Bordero!$C$4)</f>
        <v/>
      </c>
      <c r="V29" s="142" t="str">
        <f>IF(Bordero!B36="","",Bordero!$C$3)</f>
        <v/>
      </c>
      <c r="W29" s="31"/>
      <c r="X29" s="31" t="str">
        <f>IF(Bordero!B36="","",Bordero!K36)</f>
        <v/>
      </c>
      <c r="Y29" s="31"/>
      <c r="Z29" s="31"/>
      <c r="AA29" s="31"/>
      <c r="AB29" s="31"/>
      <c r="AC29" s="31"/>
      <c r="AD29" s="31"/>
    </row>
    <row r="30" spans="1:30">
      <c r="A30" s="31" t="str">
        <f>IF(Bordero!B37="","",IF(Bordero!$E$3="Comissária",Bordero!$C$4,Bordero!C37))</f>
        <v/>
      </c>
      <c r="B30" s="31" t="str">
        <f>IF(Bordero!B37="","",Bordero!B37)</f>
        <v/>
      </c>
      <c r="C30" s="31" t="str">
        <f>IF(Bordero!B37="","",IF(Bordero!$E$3="Comissária",Bordero!G32,Bordero!G37))</f>
        <v/>
      </c>
      <c r="D30" s="47" t="str">
        <f>IF(Bordero!B37="","",Bordero!I37)</f>
        <v/>
      </c>
      <c r="E30" s="31" t="str">
        <f>IF(Bordero!B37="","",Bordero!F37)</f>
        <v/>
      </c>
      <c r="F30" s="31"/>
      <c r="G30" s="31" t="str">
        <f>IF(Bordero!B37="","",Bordero!D37)</f>
        <v/>
      </c>
      <c r="H30" s="31"/>
      <c r="I30" s="110" t="str">
        <f>IF(Bordero!B37="","",5%)</f>
        <v/>
      </c>
      <c r="J30" s="110" t="str">
        <f>IF(Bordero!B37="","",2%)</f>
        <v/>
      </c>
      <c r="K30" s="111" t="str">
        <f>IF(Bordero!B37="","",90)</f>
        <v/>
      </c>
      <c r="L30" s="31"/>
      <c r="M30" s="37"/>
      <c r="N30" s="31"/>
      <c r="O30" s="37"/>
      <c r="P30" s="31"/>
      <c r="Q30" s="37"/>
      <c r="R30" s="31"/>
      <c r="S30" s="31"/>
      <c r="T30" s="31" t="str">
        <f>IF(Bordero!B37="","","several")</f>
        <v/>
      </c>
      <c r="U30" s="31" t="str">
        <f>IF(Bordero!B37="","",Bordero!$C$4)</f>
        <v/>
      </c>
      <c r="V30" s="142" t="str">
        <f>IF(Bordero!B37="","",Bordero!$C$3)</f>
        <v/>
      </c>
      <c r="W30" s="31"/>
      <c r="X30" s="31" t="str">
        <f>IF(Bordero!B37="","",Bordero!K37)</f>
        <v/>
      </c>
      <c r="Y30" s="31"/>
      <c r="Z30" s="31"/>
      <c r="AA30" s="31"/>
      <c r="AB30" s="31"/>
      <c r="AC30" s="31"/>
      <c r="AD30" s="31"/>
    </row>
    <row r="31" spans="1:30">
      <c r="A31" s="31" t="str">
        <f>IF(Bordero!B38="","",IF(Bordero!$E$3="Comissária",Bordero!$C$4,Bordero!C38))</f>
        <v/>
      </c>
      <c r="B31" s="31" t="str">
        <f>IF(Bordero!B38="","",Bordero!B38)</f>
        <v/>
      </c>
      <c r="C31" s="31" t="str">
        <f>IF(Bordero!B38="","",IF(Bordero!$E$3="Comissária",Bordero!G33,Bordero!G38))</f>
        <v/>
      </c>
      <c r="D31" s="47" t="str">
        <f>IF(Bordero!B38="","",Bordero!I38)</f>
        <v/>
      </c>
      <c r="E31" s="31" t="str">
        <f>IF(Bordero!B38="","",Bordero!F38)</f>
        <v/>
      </c>
      <c r="F31" s="31"/>
      <c r="G31" s="31" t="str">
        <f>IF(Bordero!B38="","",Bordero!D38)</f>
        <v/>
      </c>
      <c r="H31" s="31"/>
      <c r="I31" s="110" t="str">
        <f>IF(Bordero!B38="","",5%)</f>
        <v/>
      </c>
      <c r="J31" s="110" t="str">
        <f>IF(Bordero!B38="","",2%)</f>
        <v/>
      </c>
      <c r="K31" s="111" t="str">
        <f>IF(Bordero!B38="","",90)</f>
        <v/>
      </c>
      <c r="L31" s="31"/>
      <c r="M31" s="37"/>
      <c r="N31" s="31"/>
      <c r="O31" s="37"/>
      <c r="P31" s="31"/>
      <c r="Q31" s="37"/>
      <c r="R31" s="31"/>
      <c r="S31" s="31"/>
      <c r="T31" s="31" t="str">
        <f>IF(Bordero!B38="","","several")</f>
        <v/>
      </c>
      <c r="U31" s="31" t="str">
        <f>IF(Bordero!B38="","",Bordero!$C$4)</f>
        <v/>
      </c>
      <c r="V31" s="142" t="str">
        <f>IF(Bordero!B38="","",Bordero!$C$3)</f>
        <v/>
      </c>
      <c r="W31" s="31"/>
      <c r="X31" s="31" t="str">
        <f>IF(Bordero!B38="","",Bordero!K38)</f>
        <v/>
      </c>
      <c r="Y31" s="31"/>
      <c r="Z31" s="31"/>
      <c r="AA31" s="31"/>
      <c r="AB31" s="31"/>
      <c r="AC31" s="31"/>
      <c r="AD31" s="31"/>
    </row>
    <row r="32" spans="1:30">
      <c r="A32" s="31" t="str">
        <f>IF(Bordero!B39="","",IF(Bordero!$E$3="Comissária",Bordero!$C$4,Bordero!C39))</f>
        <v/>
      </c>
      <c r="B32" s="31" t="str">
        <f>IF(Bordero!B39="","",Bordero!B39)</f>
        <v/>
      </c>
      <c r="C32" s="31" t="str">
        <f>IF(Bordero!B39="","",IF(Bordero!$E$3="Comissária",Bordero!G34,Bordero!G39))</f>
        <v/>
      </c>
      <c r="D32" s="47" t="str">
        <f>IF(Bordero!B39="","",Bordero!I39)</f>
        <v/>
      </c>
      <c r="E32" s="31" t="str">
        <f>IF(Bordero!B39="","",Bordero!F39)</f>
        <v/>
      </c>
      <c r="F32" s="31"/>
      <c r="G32" s="31" t="str">
        <f>IF(Bordero!B39="","",Bordero!D39)</f>
        <v/>
      </c>
      <c r="H32" s="31"/>
      <c r="I32" s="110" t="str">
        <f>IF(Bordero!B39="","",5%)</f>
        <v/>
      </c>
      <c r="J32" s="110" t="str">
        <f>IF(Bordero!B39="","",2%)</f>
        <v/>
      </c>
      <c r="K32" s="111" t="str">
        <f>IF(Bordero!B39="","",90)</f>
        <v/>
      </c>
      <c r="L32" s="31"/>
      <c r="M32" s="37"/>
      <c r="N32" s="31"/>
      <c r="O32" s="37"/>
      <c r="P32" s="31"/>
      <c r="Q32" s="37"/>
      <c r="R32" s="31"/>
      <c r="S32" s="31"/>
      <c r="T32" s="31" t="str">
        <f>IF(Bordero!B39="","","several")</f>
        <v/>
      </c>
      <c r="U32" s="31" t="str">
        <f>IF(Bordero!B39="","",Bordero!$C$4)</f>
        <v/>
      </c>
      <c r="V32" s="142" t="str">
        <f>IF(Bordero!B39="","",Bordero!$C$3)</f>
        <v/>
      </c>
      <c r="W32" s="31"/>
      <c r="X32" s="31" t="str">
        <f>IF(Bordero!B39="","",Bordero!K39)</f>
        <v/>
      </c>
      <c r="Y32" s="31"/>
      <c r="Z32" s="31"/>
      <c r="AA32" s="31"/>
      <c r="AB32" s="31"/>
      <c r="AC32" s="31"/>
      <c r="AD32" s="31"/>
    </row>
    <row r="33" spans="1:30">
      <c r="A33" s="31" t="str">
        <f>IF(Bordero!B40="","",IF(Bordero!$E$3="Comissária",Bordero!$C$4,Bordero!C40))</f>
        <v/>
      </c>
      <c r="B33" s="31" t="str">
        <f>IF(Bordero!B40="","",Bordero!B40)</f>
        <v/>
      </c>
      <c r="C33" s="31" t="str">
        <f>IF(Bordero!B40="","",IF(Bordero!$E$3="Comissária",Bordero!G35,Bordero!G40))</f>
        <v/>
      </c>
      <c r="D33" s="47" t="str">
        <f>IF(Bordero!B40="","",Bordero!I40)</f>
        <v/>
      </c>
      <c r="E33" s="31" t="str">
        <f>IF(Bordero!B40="","",Bordero!F40)</f>
        <v/>
      </c>
      <c r="F33" s="31"/>
      <c r="G33" s="31" t="str">
        <f>IF(Bordero!B40="","",Bordero!D40)</f>
        <v/>
      </c>
      <c r="H33" s="31"/>
      <c r="I33" s="110" t="str">
        <f>IF(Bordero!B40="","",5%)</f>
        <v/>
      </c>
      <c r="J33" s="110" t="str">
        <f>IF(Bordero!B40="","",2%)</f>
        <v/>
      </c>
      <c r="K33" s="111" t="str">
        <f>IF(Bordero!B40="","",90)</f>
        <v/>
      </c>
      <c r="L33" s="31"/>
      <c r="M33" s="37"/>
      <c r="N33" s="31"/>
      <c r="O33" s="37"/>
      <c r="P33" s="31"/>
      <c r="Q33" s="37"/>
      <c r="R33" s="31"/>
      <c r="S33" s="31"/>
      <c r="T33" s="31" t="str">
        <f>IF(Bordero!B40="","","several")</f>
        <v/>
      </c>
      <c r="U33" s="31" t="str">
        <f>IF(Bordero!B40="","",Bordero!$C$4)</f>
        <v/>
      </c>
      <c r="V33" s="142" t="str">
        <f>IF(Bordero!B40="","",Bordero!$C$3)</f>
        <v/>
      </c>
      <c r="W33" s="31"/>
      <c r="X33" s="31" t="str">
        <f>IF(Bordero!B40="","",Bordero!K40)</f>
        <v/>
      </c>
      <c r="Y33" s="31"/>
      <c r="Z33" s="31"/>
      <c r="AA33" s="31"/>
      <c r="AB33" s="31"/>
      <c r="AC33" s="31"/>
      <c r="AD33" s="31"/>
    </row>
    <row r="34" spans="1:30">
      <c r="A34" s="31" t="str">
        <f>IF(Bordero!B41="","",IF(Bordero!$E$3="Comissária",Bordero!$C$4,Bordero!C41))</f>
        <v/>
      </c>
      <c r="B34" s="31" t="str">
        <f>IF(Bordero!B41="","",Bordero!B41)</f>
        <v/>
      </c>
      <c r="C34" s="31" t="str">
        <f>IF(Bordero!B41="","",IF(Bordero!$E$3="Comissária",Bordero!G36,Bordero!G41))</f>
        <v/>
      </c>
      <c r="D34" s="47" t="str">
        <f>IF(Bordero!B41="","",Bordero!I41)</f>
        <v/>
      </c>
      <c r="E34" s="31" t="str">
        <f>IF(Bordero!B41="","",Bordero!F41)</f>
        <v/>
      </c>
      <c r="F34" s="31"/>
      <c r="G34" s="31" t="str">
        <f>IF(Bordero!B41="","",Bordero!D41)</f>
        <v/>
      </c>
      <c r="H34" s="31"/>
      <c r="I34" s="110" t="str">
        <f>IF(Bordero!B41="","",5%)</f>
        <v/>
      </c>
      <c r="J34" s="110" t="str">
        <f>IF(Bordero!B41="","",2%)</f>
        <v/>
      </c>
      <c r="K34" s="111" t="str">
        <f>IF(Bordero!B41="","",90)</f>
        <v/>
      </c>
      <c r="L34" s="31"/>
      <c r="M34" s="37"/>
      <c r="N34" s="31"/>
      <c r="O34" s="37"/>
      <c r="P34" s="31"/>
      <c r="Q34" s="37"/>
      <c r="R34" s="31"/>
      <c r="S34" s="31"/>
      <c r="T34" s="31" t="str">
        <f>IF(Bordero!B41="","","several")</f>
        <v/>
      </c>
      <c r="U34" s="31" t="str">
        <f>IF(Bordero!B41="","",Bordero!$C$4)</f>
        <v/>
      </c>
      <c r="V34" s="142" t="str">
        <f>IF(Bordero!B41="","",Bordero!$C$3)</f>
        <v/>
      </c>
      <c r="W34" s="31"/>
      <c r="X34" s="31" t="str">
        <f>IF(Bordero!B41="","",Bordero!K41)</f>
        <v/>
      </c>
      <c r="Y34" s="31"/>
      <c r="Z34" s="31"/>
      <c r="AA34" s="31"/>
      <c r="AB34" s="31"/>
      <c r="AC34" s="31"/>
      <c r="AD34" s="31"/>
    </row>
    <row r="35" spans="1:30">
      <c r="A35" s="31" t="str">
        <f>IF(Bordero!B42="","",IF(Bordero!$E$3="Comissária",Bordero!$C$4,Bordero!C42))</f>
        <v/>
      </c>
      <c r="B35" s="31" t="str">
        <f>IF(Bordero!B42="","",Bordero!B42)</f>
        <v/>
      </c>
      <c r="C35" s="31" t="str">
        <f>IF(Bordero!B42="","",IF(Bordero!$E$3="Comissária",Bordero!G37,Bordero!G42))</f>
        <v/>
      </c>
      <c r="D35" s="47" t="str">
        <f>IF(Bordero!B42="","",Bordero!I42)</f>
        <v/>
      </c>
      <c r="E35" s="31" t="str">
        <f>IF(Bordero!B42="","",Bordero!F42)</f>
        <v/>
      </c>
      <c r="F35" s="31"/>
      <c r="G35" s="31" t="str">
        <f>IF(Bordero!B42="","",Bordero!D42)</f>
        <v/>
      </c>
      <c r="H35" s="31"/>
      <c r="I35" s="110" t="str">
        <f>IF(Bordero!B42="","",5%)</f>
        <v/>
      </c>
      <c r="J35" s="110" t="str">
        <f>IF(Bordero!B42="","",2%)</f>
        <v/>
      </c>
      <c r="K35" s="111" t="str">
        <f>IF(Bordero!B42="","",90)</f>
        <v/>
      </c>
      <c r="L35" s="31"/>
      <c r="M35" s="37"/>
      <c r="N35" s="31"/>
      <c r="O35" s="37"/>
      <c r="P35" s="31"/>
      <c r="Q35" s="37"/>
      <c r="R35" s="31"/>
      <c r="S35" s="31"/>
      <c r="T35" s="31" t="str">
        <f>IF(Bordero!B42="","","several")</f>
        <v/>
      </c>
      <c r="U35" s="31" t="str">
        <f>IF(Bordero!B42="","",Bordero!$C$4)</f>
        <v/>
      </c>
      <c r="V35" s="142" t="str">
        <f>IF(Bordero!B42="","",Bordero!$C$3)</f>
        <v/>
      </c>
      <c r="W35" s="31"/>
      <c r="X35" s="31" t="str">
        <f>IF(Bordero!B42="","",Bordero!K42)</f>
        <v/>
      </c>
      <c r="Y35" s="31"/>
      <c r="Z35" s="31"/>
      <c r="AA35" s="31"/>
      <c r="AB35" s="31"/>
      <c r="AC35" s="31"/>
      <c r="AD35" s="31"/>
    </row>
    <row r="36" spans="1:30">
      <c r="A36" s="31" t="str">
        <f>IF(Bordero!B43="","",IF(Bordero!$E$3="Comissária",Bordero!$C$4,Bordero!C43))</f>
        <v/>
      </c>
      <c r="B36" s="31" t="str">
        <f>IF(Bordero!B43="","",Bordero!B43)</f>
        <v/>
      </c>
      <c r="C36" s="31" t="str">
        <f>IF(Bordero!B43="","",IF(Bordero!$E$3="Comissária",Bordero!G38,Bordero!G43))</f>
        <v/>
      </c>
      <c r="D36" s="47" t="str">
        <f>IF(Bordero!B43="","",Bordero!I43)</f>
        <v/>
      </c>
      <c r="E36" s="31" t="str">
        <f>IF(Bordero!B43="","",Bordero!F43)</f>
        <v/>
      </c>
      <c r="F36" s="31"/>
      <c r="G36" s="31" t="str">
        <f>IF(Bordero!B43="","",Bordero!D43)</f>
        <v/>
      </c>
      <c r="H36" s="31"/>
      <c r="I36" s="110" t="str">
        <f>IF(Bordero!B43="","",5%)</f>
        <v/>
      </c>
      <c r="J36" s="110" t="str">
        <f>IF(Bordero!B43="","",2%)</f>
        <v/>
      </c>
      <c r="K36" s="111" t="str">
        <f>IF(Bordero!B43="","",90)</f>
        <v/>
      </c>
      <c r="L36" s="31"/>
      <c r="M36" s="37"/>
      <c r="N36" s="31"/>
      <c r="O36" s="37"/>
      <c r="P36" s="31"/>
      <c r="Q36" s="37"/>
      <c r="R36" s="31"/>
      <c r="S36" s="31"/>
      <c r="T36" s="31" t="str">
        <f>IF(Bordero!B43="","","several")</f>
        <v/>
      </c>
      <c r="U36" s="31" t="str">
        <f>IF(Bordero!B43="","",Bordero!$C$4)</f>
        <v/>
      </c>
      <c r="V36" s="142" t="str">
        <f>IF(Bordero!B43="","",Bordero!$C$3)</f>
        <v/>
      </c>
      <c r="W36" s="31"/>
      <c r="X36" s="31" t="str">
        <f>IF(Bordero!B43="","",Bordero!K43)</f>
        <v/>
      </c>
      <c r="Y36" s="31"/>
      <c r="Z36" s="31"/>
      <c r="AA36" s="31"/>
      <c r="AB36" s="31"/>
      <c r="AC36" s="31"/>
      <c r="AD36" s="31"/>
    </row>
    <row r="37" spans="1:30">
      <c r="A37" s="31" t="str">
        <f>IF(Bordero!B44="","",IF(Bordero!$E$3="Comissária",Bordero!$C$4,Bordero!C44))</f>
        <v/>
      </c>
      <c r="B37" s="31" t="str">
        <f>IF(Bordero!B44="","",Bordero!B44)</f>
        <v/>
      </c>
      <c r="C37" s="31" t="str">
        <f>IF(Bordero!B44="","",IF(Bordero!$E$3="Comissária",Bordero!G39,Bordero!G44))</f>
        <v/>
      </c>
      <c r="D37" s="47" t="str">
        <f>IF(Bordero!B44="","",Bordero!I44)</f>
        <v/>
      </c>
      <c r="E37" s="31" t="str">
        <f>IF(Bordero!B44="","",Bordero!F44)</f>
        <v/>
      </c>
      <c r="F37" s="31"/>
      <c r="G37" s="31" t="str">
        <f>IF(Bordero!B44="","",Bordero!D44)</f>
        <v/>
      </c>
      <c r="H37" s="31"/>
      <c r="I37" s="110" t="str">
        <f>IF(Bordero!B44="","",5%)</f>
        <v/>
      </c>
      <c r="J37" s="110" t="str">
        <f>IF(Bordero!B44="","",2%)</f>
        <v/>
      </c>
      <c r="K37" s="111" t="str">
        <f>IF(Bordero!B44="","",90)</f>
        <v/>
      </c>
      <c r="L37" s="31"/>
      <c r="M37" s="37"/>
      <c r="N37" s="31"/>
      <c r="O37" s="37"/>
      <c r="P37" s="31"/>
      <c r="Q37" s="37"/>
      <c r="R37" s="31"/>
      <c r="S37" s="31"/>
      <c r="T37" s="31" t="str">
        <f>IF(Bordero!B44="","","several")</f>
        <v/>
      </c>
      <c r="U37" s="31" t="str">
        <f>IF(Bordero!B44="","",Bordero!$C$4)</f>
        <v/>
      </c>
      <c r="V37" s="142" t="str">
        <f>IF(Bordero!B44="","",Bordero!$C$3)</f>
        <v/>
      </c>
      <c r="W37" s="31"/>
      <c r="X37" s="31" t="str">
        <f>IF(Bordero!B44="","",Bordero!K44)</f>
        <v/>
      </c>
      <c r="Y37" s="31"/>
      <c r="Z37" s="31"/>
      <c r="AA37" s="31"/>
      <c r="AB37" s="31"/>
      <c r="AC37" s="31"/>
      <c r="AD37" s="31"/>
    </row>
    <row r="38" spans="1:30">
      <c r="A38" s="31" t="str">
        <f>IF(Bordero!B45="","",IF(Bordero!$E$3="Comissária",Bordero!$C$4,Bordero!C45))</f>
        <v/>
      </c>
      <c r="B38" s="31" t="str">
        <f>IF(Bordero!B45="","",Bordero!B45)</f>
        <v/>
      </c>
      <c r="C38" s="31" t="str">
        <f>IF(Bordero!B45="","",IF(Bordero!$E$3="Comissária",Bordero!G40,Bordero!G45))</f>
        <v/>
      </c>
      <c r="D38" s="47" t="str">
        <f>IF(Bordero!B45="","",Bordero!I45)</f>
        <v/>
      </c>
      <c r="E38" s="31" t="str">
        <f>IF(Bordero!B45="","",Bordero!F45)</f>
        <v/>
      </c>
      <c r="F38" s="31"/>
      <c r="G38" s="31" t="str">
        <f>IF(Bordero!B45="","",Bordero!D45)</f>
        <v/>
      </c>
      <c r="H38" s="31"/>
      <c r="I38" s="110" t="str">
        <f>IF(Bordero!B45="","",5%)</f>
        <v/>
      </c>
      <c r="J38" s="110" t="str">
        <f>IF(Bordero!B45="","",2%)</f>
        <v/>
      </c>
      <c r="K38" s="111" t="str">
        <f>IF(Bordero!B45="","",90)</f>
        <v/>
      </c>
      <c r="L38" s="31"/>
      <c r="M38" s="37"/>
      <c r="N38" s="31"/>
      <c r="O38" s="37"/>
      <c r="P38" s="31"/>
      <c r="Q38" s="37"/>
      <c r="R38" s="31"/>
      <c r="S38" s="31"/>
      <c r="T38" s="31" t="str">
        <f>IF(Bordero!B45="","","several")</f>
        <v/>
      </c>
      <c r="U38" s="31" t="str">
        <f>IF(Bordero!B45="","",Bordero!$C$4)</f>
        <v/>
      </c>
      <c r="V38" s="142" t="str">
        <f>IF(Bordero!B45="","",Bordero!$C$3)</f>
        <v/>
      </c>
      <c r="W38" s="31"/>
      <c r="X38" s="31" t="str">
        <f>IF(Bordero!B45="","",Bordero!K45)</f>
        <v/>
      </c>
      <c r="Y38" s="31"/>
      <c r="Z38" s="31"/>
      <c r="AA38" s="31"/>
      <c r="AB38" s="31"/>
      <c r="AC38" s="31"/>
      <c r="AD38" s="31"/>
    </row>
    <row r="39" spans="1:30">
      <c r="A39" s="31" t="str">
        <f>IF(Bordero!B46="","",IF(Bordero!$E$3="Comissária",Bordero!$C$4,Bordero!C46))</f>
        <v/>
      </c>
      <c r="B39" s="31" t="str">
        <f>IF(Bordero!B46="","",Bordero!B46)</f>
        <v/>
      </c>
      <c r="C39" s="31" t="str">
        <f>IF(Bordero!B46="","",IF(Bordero!$E$3="Comissária",Bordero!G41,Bordero!G46))</f>
        <v/>
      </c>
      <c r="D39" s="47" t="str">
        <f>IF(Bordero!B46="","",Bordero!I46)</f>
        <v/>
      </c>
      <c r="E39" s="31" t="str">
        <f>IF(Bordero!B46="","",Bordero!F46)</f>
        <v/>
      </c>
      <c r="F39" s="31"/>
      <c r="G39" s="31" t="str">
        <f>IF(Bordero!B46="","",Bordero!D46)</f>
        <v/>
      </c>
      <c r="H39" s="31"/>
      <c r="I39" s="110" t="str">
        <f>IF(Bordero!B46="","",5%)</f>
        <v/>
      </c>
      <c r="J39" s="110" t="str">
        <f>IF(Bordero!B46="","",2%)</f>
        <v/>
      </c>
      <c r="K39" s="111" t="str">
        <f>IF(Bordero!B46="","",90)</f>
        <v/>
      </c>
      <c r="L39" s="31"/>
      <c r="M39" s="37"/>
      <c r="N39" s="31"/>
      <c r="O39" s="37"/>
      <c r="P39" s="31"/>
      <c r="Q39" s="37"/>
      <c r="R39" s="31"/>
      <c r="S39" s="31"/>
      <c r="T39" s="31" t="str">
        <f>IF(Bordero!B46="","","several")</f>
        <v/>
      </c>
      <c r="U39" s="31" t="str">
        <f>IF(Bordero!B46="","",Bordero!$C$4)</f>
        <v/>
      </c>
      <c r="V39" s="142" t="str">
        <f>IF(Bordero!B46="","",Bordero!$C$3)</f>
        <v/>
      </c>
      <c r="W39" s="31"/>
      <c r="X39" s="31" t="str">
        <f>IF(Bordero!B46="","",Bordero!K46)</f>
        <v/>
      </c>
      <c r="Y39" s="31"/>
      <c r="Z39" s="31"/>
      <c r="AA39" s="31"/>
      <c r="AB39" s="31"/>
      <c r="AC39" s="31"/>
      <c r="AD39" s="31"/>
    </row>
    <row r="40" spans="1:30">
      <c r="A40" s="31" t="str">
        <f>IF(Bordero!B47="","",IF(Bordero!$E$3="Comissária",Bordero!$C$4,Bordero!C47))</f>
        <v/>
      </c>
      <c r="B40" s="31" t="str">
        <f>IF(Bordero!B47="","",Bordero!B47)</f>
        <v/>
      </c>
      <c r="C40" s="31" t="str">
        <f>IF(Bordero!B47="","",IF(Bordero!$E$3="Comissária",Bordero!G42,Bordero!G47))</f>
        <v/>
      </c>
      <c r="D40" s="47" t="str">
        <f>IF(Bordero!B47="","",Bordero!I47)</f>
        <v/>
      </c>
      <c r="E40" s="31" t="str">
        <f>IF(Bordero!B47="","",Bordero!F47)</f>
        <v/>
      </c>
      <c r="F40" s="31"/>
      <c r="G40" s="31" t="str">
        <f>IF(Bordero!B47="","",Bordero!D47)</f>
        <v/>
      </c>
      <c r="H40" s="31"/>
      <c r="I40" s="110" t="str">
        <f>IF(Bordero!B47="","",5%)</f>
        <v/>
      </c>
      <c r="J40" s="110" t="str">
        <f>IF(Bordero!B47="","",2%)</f>
        <v/>
      </c>
      <c r="K40" s="111" t="str">
        <f>IF(Bordero!B47="","",90)</f>
        <v/>
      </c>
      <c r="L40" s="31"/>
      <c r="M40" s="37"/>
      <c r="N40" s="31"/>
      <c r="O40" s="37"/>
      <c r="P40" s="31"/>
      <c r="Q40" s="37"/>
      <c r="R40" s="31"/>
      <c r="S40" s="31"/>
      <c r="T40" s="31" t="str">
        <f>IF(Bordero!B47="","","several")</f>
        <v/>
      </c>
      <c r="U40" s="31" t="str">
        <f>IF(Bordero!B47="","",Bordero!$C$4)</f>
        <v/>
      </c>
      <c r="V40" s="142" t="str">
        <f>IF(Bordero!B47="","",Bordero!$C$3)</f>
        <v/>
      </c>
      <c r="W40" s="31"/>
      <c r="X40" s="31" t="str">
        <f>IF(Bordero!B47="","",Bordero!K47)</f>
        <v/>
      </c>
      <c r="Y40" s="31"/>
      <c r="Z40" s="31"/>
      <c r="AA40" s="31"/>
      <c r="AB40" s="31"/>
      <c r="AC40" s="31"/>
      <c r="AD40" s="31"/>
    </row>
    <row r="41" spans="1:30">
      <c r="A41" s="31" t="str">
        <f>IF(Bordero!B48="","",IF(Bordero!$E$3="Comissária",Bordero!$C$4,Bordero!C48))</f>
        <v/>
      </c>
      <c r="B41" s="31" t="str">
        <f>IF(Bordero!B48="","",Bordero!B48)</f>
        <v/>
      </c>
      <c r="C41" s="31" t="str">
        <f>IF(Bordero!B48="","",IF(Bordero!$E$3="Comissária",Bordero!G43,Bordero!G48))</f>
        <v/>
      </c>
      <c r="D41" s="47" t="str">
        <f>IF(Bordero!B48="","",Bordero!I48)</f>
        <v/>
      </c>
      <c r="E41" s="31" t="str">
        <f>IF(Bordero!B48="","",Bordero!F48)</f>
        <v/>
      </c>
      <c r="F41" s="31"/>
      <c r="G41" s="31" t="str">
        <f>IF(Bordero!B48="","",Bordero!D48)</f>
        <v/>
      </c>
      <c r="H41" s="31"/>
      <c r="I41" s="110" t="str">
        <f>IF(Bordero!B48="","",5%)</f>
        <v/>
      </c>
      <c r="J41" s="110" t="str">
        <f>IF(Bordero!B48="","",2%)</f>
        <v/>
      </c>
      <c r="K41" s="111" t="str">
        <f>IF(Bordero!B48="","",90)</f>
        <v/>
      </c>
      <c r="L41" s="31"/>
      <c r="M41" s="37"/>
      <c r="N41" s="31"/>
      <c r="O41" s="37"/>
      <c r="P41" s="31"/>
      <c r="Q41" s="37"/>
      <c r="R41" s="31"/>
      <c r="S41" s="31"/>
      <c r="T41" s="31" t="str">
        <f>IF(Bordero!B48="","","several")</f>
        <v/>
      </c>
      <c r="U41" s="31" t="str">
        <f>IF(Bordero!B48="","",Bordero!$C$4)</f>
        <v/>
      </c>
      <c r="V41" s="142" t="str">
        <f>IF(Bordero!B48="","",Bordero!$C$3)</f>
        <v/>
      </c>
      <c r="W41" s="31"/>
      <c r="X41" s="31" t="str">
        <f>IF(Bordero!B48="","",Bordero!K48)</f>
        <v/>
      </c>
      <c r="Y41" s="31"/>
      <c r="Z41" s="31"/>
      <c r="AA41" s="31"/>
      <c r="AB41" s="31"/>
      <c r="AC41" s="31"/>
      <c r="AD41" s="31"/>
    </row>
    <row r="42" spans="1:30">
      <c r="A42" s="31" t="str">
        <f>IF(Bordero!B49="","",IF(Bordero!$E$3="Comissária",Bordero!$C$4,Bordero!C49))</f>
        <v/>
      </c>
      <c r="B42" s="31" t="str">
        <f>IF(Bordero!B49="","",Bordero!B49)</f>
        <v/>
      </c>
      <c r="C42" s="31" t="str">
        <f>IF(Bordero!B49="","",IF(Bordero!$E$3="Comissária",Bordero!G44,Bordero!G49))</f>
        <v/>
      </c>
      <c r="D42" s="47" t="str">
        <f>IF(Bordero!B49="","",Bordero!I49)</f>
        <v/>
      </c>
      <c r="E42" s="31" t="str">
        <f>IF(Bordero!B49="","",Bordero!F49)</f>
        <v/>
      </c>
      <c r="F42" s="31"/>
      <c r="G42" s="31" t="str">
        <f>IF(Bordero!B49="","",Bordero!D49)</f>
        <v/>
      </c>
      <c r="H42" s="31"/>
      <c r="I42" s="110" t="str">
        <f>IF(Bordero!B49="","",5%)</f>
        <v/>
      </c>
      <c r="J42" s="110" t="str">
        <f>IF(Bordero!B49="","",2%)</f>
        <v/>
      </c>
      <c r="K42" s="111" t="str">
        <f>IF(Bordero!B49="","",90)</f>
        <v/>
      </c>
      <c r="L42" s="31"/>
      <c r="M42" s="37"/>
      <c r="N42" s="31"/>
      <c r="O42" s="37"/>
      <c r="P42" s="31"/>
      <c r="Q42" s="37"/>
      <c r="R42" s="31"/>
      <c r="S42" s="31"/>
      <c r="T42" s="31" t="str">
        <f>IF(Bordero!B49="","","several")</f>
        <v/>
      </c>
      <c r="U42" s="31" t="str">
        <f>IF(Bordero!B49="","",Bordero!$C$4)</f>
        <v/>
      </c>
      <c r="V42" s="142" t="str">
        <f>IF(Bordero!B49="","",Bordero!$C$3)</f>
        <v/>
      </c>
      <c r="W42" s="31"/>
      <c r="X42" s="31" t="str">
        <f>IF(Bordero!B49="","",Bordero!K49)</f>
        <v/>
      </c>
      <c r="Y42" s="31"/>
      <c r="Z42" s="31"/>
      <c r="AA42" s="31"/>
      <c r="AB42" s="31"/>
      <c r="AC42" s="31"/>
      <c r="AD42" s="31"/>
    </row>
    <row r="43" spans="1:30">
      <c r="A43" s="31" t="str">
        <f>IF(Bordero!B50="","",IF(Bordero!$E$3="Comissária",Bordero!$C$4,Bordero!C50))</f>
        <v/>
      </c>
      <c r="B43" s="31" t="str">
        <f>IF(Bordero!B50="","",Bordero!B50)</f>
        <v/>
      </c>
      <c r="C43" s="31" t="str">
        <f>IF(Bordero!B50="","",IF(Bordero!$E$3="Comissária",Bordero!G45,Bordero!G50))</f>
        <v/>
      </c>
      <c r="D43" s="47" t="str">
        <f>IF(Bordero!B50="","",Bordero!I50)</f>
        <v/>
      </c>
      <c r="E43" s="31" t="str">
        <f>IF(Bordero!B50="","",Bordero!F50)</f>
        <v/>
      </c>
      <c r="F43" s="31"/>
      <c r="G43" s="31" t="str">
        <f>IF(Bordero!B50="","",Bordero!D50)</f>
        <v/>
      </c>
      <c r="H43" s="31"/>
      <c r="I43" s="110" t="str">
        <f>IF(Bordero!B50="","",5%)</f>
        <v/>
      </c>
      <c r="J43" s="110" t="str">
        <f>IF(Bordero!B50="","",2%)</f>
        <v/>
      </c>
      <c r="K43" s="111" t="str">
        <f>IF(Bordero!B50="","",90)</f>
        <v/>
      </c>
      <c r="L43" s="31"/>
      <c r="M43" s="37"/>
      <c r="N43" s="31"/>
      <c r="O43" s="37"/>
      <c r="P43" s="31"/>
      <c r="Q43" s="37"/>
      <c r="R43" s="31"/>
      <c r="S43" s="31"/>
      <c r="T43" s="31" t="str">
        <f>IF(Bordero!B50="","","several")</f>
        <v/>
      </c>
      <c r="U43" s="31" t="str">
        <f>IF(Bordero!B50="","",Bordero!$C$4)</f>
        <v/>
      </c>
      <c r="V43" s="142" t="str">
        <f>IF(Bordero!B50="","",Bordero!$C$3)</f>
        <v/>
      </c>
      <c r="W43" s="31"/>
      <c r="X43" s="31" t="str">
        <f>IF(Bordero!B50="","",Bordero!K50)</f>
        <v/>
      </c>
      <c r="Y43" s="31"/>
      <c r="Z43" s="31"/>
      <c r="AA43" s="31"/>
      <c r="AB43" s="31"/>
      <c r="AC43" s="31"/>
      <c r="AD43" s="31"/>
    </row>
    <row r="44" spans="1:30">
      <c r="A44" s="31" t="str">
        <f>IF(Bordero!B51="","",IF(Bordero!$E$3="Comissária",Bordero!$C$4,Bordero!C51))</f>
        <v/>
      </c>
      <c r="B44" s="31" t="str">
        <f>IF(Bordero!B51="","",Bordero!B51)</f>
        <v/>
      </c>
      <c r="C44" s="31" t="str">
        <f>IF(Bordero!B51="","",IF(Bordero!$E$3="Comissária",Bordero!G46,Bordero!G51))</f>
        <v/>
      </c>
      <c r="D44" s="47" t="str">
        <f>IF(Bordero!B51="","",Bordero!I51)</f>
        <v/>
      </c>
      <c r="E44" s="31" t="str">
        <f>IF(Bordero!B51="","",Bordero!F51)</f>
        <v/>
      </c>
      <c r="F44" s="31"/>
      <c r="G44" s="31" t="str">
        <f>IF(Bordero!B51="","",Bordero!D51)</f>
        <v/>
      </c>
      <c r="H44" s="31"/>
      <c r="I44" s="110" t="str">
        <f>IF(Bordero!B51="","",5%)</f>
        <v/>
      </c>
      <c r="J44" s="110" t="str">
        <f>IF(Bordero!B51="","",2%)</f>
        <v/>
      </c>
      <c r="K44" s="111" t="str">
        <f>IF(Bordero!B51="","",90)</f>
        <v/>
      </c>
      <c r="L44" s="31"/>
      <c r="M44" s="37"/>
      <c r="N44" s="31"/>
      <c r="O44" s="37"/>
      <c r="P44" s="31"/>
      <c r="Q44" s="37"/>
      <c r="R44" s="31"/>
      <c r="S44" s="31"/>
      <c r="T44" s="31" t="str">
        <f>IF(Bordero!B51="","","several")</f>
        <v/>
      </c>
      <c r="U44" s="31" t="str">
        <f>IF(Bordero!B51="","",Bordero!$C$4)</f>
        <v/>
      </c>
      <c r="V44" s="142" t="str">
        <f>IF(Bordero!B51="","",Bordero!$C$3)</f>
        <v/>
      </c>
      <c r="W44" s="31"/>
      <c r="X44" s="31" t="str">
        <f>IF(Bordero!B51="","",Bordero!K51)</f>
        <v/>
      </c>
      <c r="Y44" s="31"/>
      <c r="Z44" s="31"/>
      <c r="AA44" s="31"/>
      <c r="AB44" s="31"/>
      <c r="AC44" s="31"/>
      <c r="AD44" s="31"/>
    </row>
    <row r="45" spans="1:30">
      <c r="A45" s="31" t="str">
        <f>IF(Bordero!B52="","",IF(Bordero!$E$3="Comissária",Bordero!$C$4,Bordero!C52))</f>
        <v/>
      </c>
      <c r="B45" s="31" t="str">
        <f>IF(Bordero!B52="","",Bordero!B52)</f>
        <v/>
      </c>
      <c r="C45" s="31" t="str">
        <f>IF(Bordero!B52="","",IF(Bordero!$E$3="Comissária",Bordero!G47,Bordero!G52))</f>
        <v/>
      </c>
      <c r="D45" s="47" t="str">
        <f>IF(Bordero!B52="","",Bordero!I52)</f>
        <v/>
      </c>
      <c r="E45" s="31" t="str">
        <f>IF(Bordero!B52="","",Bordero!F52)</f>
        <v/>
      </c>
      <c r="F45" s="31"/>
      <c r="G45" s="31" t="str">
        <f>IF(Bordero!B52="","",Bordero!D52)</f>
        <v/>
      </c>
      <c r="H45" s="31"/>
      <c r="I45" s="110" t="str">
        <f>IF(Bordero!B52="","",5%)</f>
        <v/>
      </c>
      <c r="J45" s="110" t="str">
        <f>IF(Bordero!B52="","",2%)</f>
        <v/>
      </c>
      <c r="K45" s="111" t="str">
        <f>IF(Bordero!B52="","",90)</f>
        <v/>
      </c>
      <c r="L45" s="31"/>
      <c r="M45" s="37"/>
      <c r="N45" s="31"/>
      <c r="O45" s="37"/>
      <c r="P45" s="31"/>
      <c r="Q45" s="37"/>
      <c r="R45" s="31"/>
      <c r="S45" s="31"/>
      <c r="T45" s="31" t="str">
        <f>IF(Bordero!B52="","","several")</f>
        <v/>
      </c>
      <c r="U45" s="31" t="str">
        <f>IF(Bordero!B52="","",Bordero!$C$4)</f>
        <v/>
      </c>
      <c r="V45" s="142" t="str">
        <f>IF(Bordero!B52="","",Bordero!$C$3)</f>
        <v/>
      </c>
      <c r="W45" s="31"/>
      <c r="X45" s="31" t="str">
        <f>IF(Bordero!B52="","",Bordero!K52)</f>
        <v/>
      </c>
      <c r="Y45" s="31"/>
      <c r="Z45" s="31"/>
      <c r="AA45" s="31"/>
      <c r="AB45" s="31"/>
      <c r="AC45" s="31"/>
      <c r="AD45" s="31"/>
    </row>
    <row r="46" spans="1:30">
      <c r="A46" s="31" t="str">
        <f>IF(Bordero!B53="","",IF(Bordero!$E$3="Comissária",Bordero!$C$4,Bordero!C53))</f>
        <v/>
      </c>
      <c r="B46" s="31" t="str">
        <f>IF(Bordero!B53="","",Bordero!B53)</f>
        <v/>
      </c>
      <c r="C46" s="31" t="str">
        <f>IF(Bordero!B53="","",IF(Bordero!$E$3="Comissária",Bordero!G48,Bordero!G53))</f>
        <v/>
      </c>
      <c r="D46" s="47" t="str">
        <f>IF(Bordero!B53="","",Bordero!I53)</f>
        <v/>
      </c>
      <c r="E46" s="31" t="str">
        <f>IF(Bordero!B53="","",Bordero!F53)</f>
        <v/>
      </c>
      <c r="F46" s="31"/>
      <c r="G46" s="31" t="str">
        <f>IF(Bordero!B53="","",Bordero!D53)</f>
        <v/>
      </c>
      <c r="H46" s="31"/>
      <c r="I46" s="110" t="str">
        <f>IF(Bordero!B53="","",5%)</f>
        <v/>
      </c>
      <c r="J46" s="110" t="str">
        <f>IF(Bordero!B53="","",2%)</f>
        <v/>
      </c>
      <c r="K46" s="111" t="str">
        <f>IF(Bordero!B53="","",90)</f>
        <v/>
      </c>
      <c r="L46" s="31"/>
      <c r="M46" s="37"/>
      <c r="N46" s="31"/>
      <c r="O46" s="37"/>
      <c r="P46" s="31"/>
      <c r="Q46" s="37"/>
      <c r="R46" s="31"/>
      <c r="S46" s="31"/>
      <c r="T46" s="31" t="str">
        <f>IF(Bordero!B53="","","several")</f>
        <v/>
      </c>
      <c r="U46" s="31" t="str">
        <f>IF(Bordero!B53="","",Bordero!$C$4)</f>
        <v/>
      </c>
      <c r="V46" s="142" t="str">
        <f>IF(Bordero!B53="","",Bordero!$C$3)</f>
        <v/>
      </c>
      <c r="W46" s="31"/>
      <c r="X46" s="31" t="str">
        <f>IF(Bordero!B53="","",Bordero!K53)</f>
        <v/>
      </c>
      <c r="Y46" s="31"/>
      <c r="Z46" s="31"/>
      <c r="AA46" s="31"/>
      <c r="AB46" s="31"/>
      <c r="AC46" s="31"/>
      <c r="AD46" s="31"/>
    </row>
    <row r="47" spans="1:30">
      <c r="A47" s="31" t="str">
        <f>IF(Bordero!B54="","",IF(Bordero!$E$3="Comissária",Bordero!$C$4,Bordero!C54))</f>
        <v/>
      </c>
      <c r="B47" s="31" t="str">
        <f>IF(Bordero!B54="","",Bordero!B54)</f>
        <v/>
      </c>
      <c r="C47" s="31" t="str">
        <f>IF(Bordero!B54="","",IF(Bordero!$E$3="Comissária",Bordero!G49,Bordero!G54))</f>
        <v/>
      </c>
      <c r="D47" s="47" t="str">
        <f>IF(Bordero!B54="","",Bordero!I54)</f>
        <v/>
      </c>
      <c r="E47" s="31" t="str">
        <f>IF(Bordero!B54="","",Bordero!F54)</f>
        <v/>
      </c>
      <c r="F47" s="31"/>
      <c r="G47" s="31" t="str">
        <f>IF(Bordero!B54="","",Bordero!D54)</f>
        <v/>
      </c>
      <c r="H47" s="31"/>
      <c r="I47" s="110" t="str">
        <f>IF(Bordero!B54="","",5%)</f>
        <v/>
      </c>
      <c r="J47" s="110" t="str">
        <f>IF(Bordero!B54="","",2%)</f>
        <v/>
      </c>
      <c r="K47" s="111" t="str">
        <f>IF(Bordero!B54="","",90)</f>
        <v/>
      </c>
      <c r="L47" s="31"/>
      <c r="M47" s="37"/>
      <c r="N47" s="31"/>
      <c r="O47" s="37"/>
      <c r="P47" s="31"/>
      <c r="Q47" s="37"/>
      <c r="R47" s="31"/>
      <c r="S47" s="31"/>
      <c r="T47" s="31" t="str">
        <f>IF(Bordero!B54="","","several")</f>
        <v/>
      </c>
      <c r="U47" s="31" t="str">
        <f>IF(Bordero!B54="","",Bordero!$C$4)</f>
        <v/>
      </c>
      <c r="V47" s="142" t="str">
        <f>IF(Bordero!B54="","",Bordero!$C$3)</f>
        <v/>
      </c>
      <c r="W47" s="31"/>
      <c r="X47" s="31" t="str">
        <f>IF(Bordero!B54="","",Bordero!K54)</f>
        <v/>
      </c>
      <c r="Y47" s="31"/>
      <c r="Z47" s="31"/>
      <c r="AA47" s="31"/>
      <c r="AB47" s="31"/>
      <c r="AC47" s="31"/>
      <c r="AD47" s="31"/>
    </row>
    <row r="48" spans="1:30">
      <c r="A48" s="31" t="str">
        <f>IF(Bordero!B55="","",IF(Bordero!$E$3="Comissária",Bordero!$C$4,Bordero!C55))</f>
        <v/>
      </c>
      <c r="B48" s="31" t="str">
        <f>IF(Bordero!B55="","",Bordero!B55)</f>
        <v/>
      </c>
      <c r="C48" s="31" t="str">
        <f>IF(Bordero!B55="","",IF(Bordero!$E$3="Comissária",Bordero!G50,Bordero!G55))</f>
        <v/>
      </c>
      <c r="D48" s="47" t="str">
        <f>IF(Bordero!B55="","",Bordero!I55)</f>
        <v/>
      </c>
      <c r="E48" s="31" t="str">
        <f>IF(Bordero!B55="","",Bordero!F55)</f>
        <v/>
      </c>
      <c r="F48" s="31"/>
      <c r="G48" s="31" t="str">
        <f>IF(Bordero!B55="","",Bordero!D55)</f>
        <v/>
      </c>
      <c r="H48" s="31"/>
      <c r="I48" s="110" t="str">
        <f>IF(Bordero!B55="","",5%)</f>
        <v/>
      </c>
      <c r="J48" s="110" t="str">
        <f>IF(Bordero!B55="","",2%)</f>
        <v/>
      </c>
      <c r="K48" s="111" t="str">
        <f>IF(Bordero!B55="","",90)</f>
        <v/>
      </c>
      <c r="L48" s="31"/>
      <c r="M48" s="37"/>
      <c r="N48" s="31"/>
      <c r="O48" s="37"/>
      <c r="P48" s="31"/>
      <c r="Q48" s="37"/>
      <c r="R48" s="31"/>
      <c r="S48" s="31"/>
      <c r="T48" s="31" t="str">
        <f>IF(Bordero!B55="","","several")</f>
        <v/>
      </c>
      <c r="U48" s="31" t="str">
        <f>IF(Bordero!B55="","",Bordero!$C$4)</f>
        <v/>
      </c>
      <c r="V48" s="142" t="str">
        <f>IF(Bordero!B55="","",Bordero!$C$3)</f>
        <v/>
      </c>
      <c r="W48" s="31"/>
      <c r="X48" s="31" t="str">
        <f>IF(Bordero!B55="","",Bordero!K55)</f>
        <v/>
      </c>
      <c r="Y48" s="31"/>
      <c r="Z48" s="31"/>
      <c r="AA48" s="31"/>
      <c r="AB48" s="31"/>
      <c r="AC48" s="31"/>
      <c r="AD48" s="31"/>
    </row>
    <row r="49" spans="1:30">
      <c r="A49" s="31" t="str">
        <f>IF(Bordero!B56="","",IF(Bordero!$E$3="Comissária",Bordero!$C$4,Bordero!C56))</f>
        <v/>
      </c>
      <c r="B49" s="31" t="str">
        <f>IF(Bordero!B56="","",Bordero!B56)</f>
        <v/>
      </c>
      <c r="C49" s="31" t="str">
        <f>IF(Bordero!B56="","",IF(Bordero!$E$3="Comissária",Bordero!G51,Bordero!G56))</f>
        <v/>
      </c>
      <c r="D49" s="47" t="str">
        <f>IF(Bordero!B56="","",Bordero!I56)</f>
        <v/>
      </c>
      <c r="E49" s="31" t="str">
        <f>IF(Bordero!B56="","",Bordero!F56)</f>
        <v/>
      </c>
      <c r="F49" s="31"/>
      <c r="G49" s="31" t="str">
        <f>IF(Bordero!B56="","",Bordero!D56)</f>
        <v/>
      </c>
      <c r="H49" s="31"/>
      <c r="I49" s="110" t="str">
        <f>IF(Bordero!B56="","",5%)</f>
        <v/>
      </c>
      <c r="J49" s="110" t="str">
        <f>IF(Bordero!B56="","",2%)</f>
        <v/>
      </c>
      <c r="K49" s="111" t="str">
        <f>IF(Bordero!B56="","",90)</f>
        <v/>
      </c>
      <c r="L49" s="31"/>
      <c r="M49" s="37"/>
      <c r="N49" s="31"/>
      <c r="O49" s="37"/>
      <c r="P49" s="31"/>
      <c r="Q49" s="37"/>
      <c r="R49" s="31"/>
      <c r="S49" s="31"/>
      <c r="T49" s="31" t="str">
        <f>IF(Bordero!B56="","","several")</f>
        <v/>
      </c>
      <c r="U49" s="31" t="str">
        <f>IF(Bordero!B56="","",Bordero!$C$4)</f>
        <v/>
      </c>
      <c r="V49" s="142" t="str">
        <f>IF(Bordero!B56="","",Bordero!$C$3)</f>
        <v/>
      </c>
      <c r="W49" s="31"/>
      <c r="X49" s="31" t="str">
        <f>IF(Bordero!B56="","",Bordero!K56)</f>
        <v/>
      </c>
      <c r="Y49" s="31"/>
      <c r="Z49" s="31"/>
      <c r="AA49" s="31"/>
      <c r="AB49" s="31"/>
      <c r="AC49" s="31"/>
      <c r="AD49" s="31"/>
    </row>
    <row r="50" spans="1:30">
      <c r="A50" s="31" t="str">
        <f>IF(Bordero!B57="","",IF(Bordero!$E$3="Comissária",Bordero!$C$4,Bordero!C57))</f>
        <v/>
      </c>
      <c r="B50" s="31" t="str">
        <f>IF(Bordero!B57="","",Bordero!B57)</f>
        <v/>
      </c>
      <c r="C50" s="31" t="str">
        <f>IF(Bordero!B57="","",IF(Bordero!$E$3="Comissária",Bordero!G52,Bordero!G57))</f>
        <v/>
      </c>
      <c r="D50" s="47" t="str">
        <f>IF(Bordero!B57="","",Bordero!I57)</f>
        <v/>
      </c>
      <c r="E50" s="31" t="str">
        <f>IF(Bordero!B57="","",Bordero!F57)</f>
        <v/>
      </c>
      <c r="F50" s="31"/>
      <c r="G50" s="31" t="str">
        <f>IF(Bordero!B57="","",Bordero!D57)</f>
        <v/>
      </c>
      <c r="H50" s="31"/>
      <c r="I50" s="110" t="str">
        <f>IF(Bordero!B57="","",5%)</f>
        <v/>
      </c>
      <c r="J50" s="110" t="str">
        <f>IF(Bordero!B57="","",2%)</f>
        <v/>
      </c>
      <c r="K50" s="111" t="str">
        <f>IF(Bordero!B57="","",90)</f>
        <v/>
      </c>
      <c r="L50" s="31"/>
      <c r="M50" s="37"/>
      <c r="N50" s="31"/>
      <c r="O50" s="37"/>
      <c r="P50" s="31"/>
      <c r="Q50" s="37"/>
      <c r="R50" s="31"/>
      <c r="S50" s="31"/>
      <c r="T50" s="31" t="str">
        <f>IF(Bordero!B57="","","several")</f>
        <v/>
      </c>
      <c r="U50" s="31" t="str">
        <f>IF(Bordero!B57="","",Bordero!$C$4)</f>
        <v/>
      </c>
      <c r="V50" s="142" t="str">
        <f>IF(Bordero!B57="","",Bordero!$C$3)</f>
        <v/>
      </c>
      <c r="W50" s="31"/>
      <c r="X50" s="31" t="str">
        <f>IF(Bordero!B57="","",Bordero!K57)</f>
        <v/>
      </c>
      <c r="Y50" s="31"/>
      <c r="Z50" s="31"/>
      <c r="AA50" s="31"/>
      <c r="AB50" s="31"/>
      <c r="AC50" s="31"/>
      <c r="AD50" s="31"/>
    </row>
    <row r="51" spans="1:30">
      <c r="A51" s="31" t="str">
        <f>IF(Bordero!B58="","",IF(Bordero!$E$3="Comissária",Bordero!$C$4,Bordero!C58))</f>
        <v/>
      </c>
      <c r="B51" s="31" t="str">
        <f>IF(Bordero!B58="","",Bordero!B58)</f>
        <v/>
      </c>
      <c r="C51" s="31" t="str">
        <f>IF(Bordero!B58="","",IF(Bordero!$E$3="Comissária",Bordero!G53,Bordero!G58))</f>
        <v/>
      </c>
      <c r="D51" s="47" t="str">
        <f>IF(Bordero!B58="","",Bordero!I58)</f>
        <v/>
      </c>
      <c r="E51" s="31" t="str">
        <f>IF(Bordero!B58="","",Bordero!F58)</f>
        <v/>
      </c>
      <c r="F51" s="31"/>
      <c r="G51" s="31" t="str">
        <f>IF(Bordero!B58="","",Bordero!D58)</f>
        <v/>
      </c>
      <c r="H51" s="31"/>
      <c r="I51" s="110" t="str">
        <f>IF(Bordero!B58="","",5%)</f>
        <v/>
      </c>
      <c r="J51" s="110" t="str">
        <f>IF(Bordero!B58="","",2%)</f>
        <v/>
      </c>
      <c r="K51" s="111" t="str">
        <f>IF(Bordero!B58="","",90)</f>
        <v/>
      </c>
      <c r="L51" s="31"/>
      <c r="M51" s="37"/>
      <c r="N51" s="31"/>
      <c r="O51" s="37"/>
      <c r="P51" s="31"/>
      <c r="Q51" s="37"/>
      <c r="R51" s="31"/>
      <c r="S51" s="31"/>
      <c r="T51" s="31" t="str">
        <f>IF(Bordero!B58="","","several")</f>
        <v/>
      </c>
      <c r="U51" s="31" t="str">
        <f>IF(Bordero!B58="","",Bordero!$C$4)</f>
        <v/>
      </c>
      <c r="V51" s="142" t="str">
        <f>IF(Bordero!B58="","",Bordero!$C$3)</f>
        <v/>
      </c>
      <c r="W51" s="31"/>
      <c r="X51" s="31" t="str">
        <f>IF(Bordero!B58="","",Bordero!K58)</f>
        <v/>
      </c>
      <c r="Y51" s="31"/>
      <c r="Z51" s="31"/>
      <c r="AA51" s="31"/>
      <c r="AB51" s="31"/>
      <c r="AC51" s="31"/>
      <c r="AD51" s="31"/>
    </row>
    <row r="52" spans="1:30">
      <c r="A52" s="31" t="str">
        <f>IF(Bordero!B59="","",IF(Bordero!$E$3="Comissária",Bordero!$C$4,Bordero!C59))</f>
        <v/>
      </c>
      <c r="B52" s="31" t="str">
        <f>IF(Bordero!B59="","",Bordero!B59)</f>
        <v/>
      </c>
      <c r="C52" s="31" t="str">
        <f>IF(Bordero!B59="","",IF(Bordero!$E$3="Comissária",Bordero!G54,Bordero!G59))</f>
        <v/>
      </c>
      <c r="D52" s="47" t="str">
        <f>IF(Bordero!B59="","",Bordero!I59)</f>
        <v/>
      </c>
      <c r="E52" s="31" t="str">
        <f>IF(Bordero!B59="","",Bordero!F59)</f>
        <v/>
      </c>
      <c r="F52" s="31"/>
      <c r="G52" s="31" t="str">
        <f>IF(Bordero!B59="","",Bordero!D59)</f>
        <v/>
      </c>
      <c r="H52" s="31"/>
      <c r="I52" s="110" t="str">
        <f>IF(Bordero!B59="","",5%)</f>
        <v/>
      </c>
      <c r="J52" s="110" t="str">
        <f>IF(Bordero!B59="","",2%)</f>
        <v/>
      </c>
      <c r="K52" s="111" t="str">
        <f>IF(Bordero!B59="","",90)</f>
        <v/>
      </c>
      <c r="L52" s="31"/>
      <c r="M52" s="37"/>
      <c r="N52" s="31"/>
      <c r="O52" s="37"/>
      <c r="P52" s="31"/>
      <c r="Q52" s="37"/>
      <c r="R52" s="31"/>
      <c r="S52" s="31"/>
      <c r="T52" s="31" t="str">
        <f>IF(Bordero!B59="","","several")</f>
        <v/>
      </c>
      <c r="U52" s="31" t="str">
        <f>IF(Bordero!B59="","",Bordero!$C$4)</f>
        <v/>
      </c>
      <c r="V52" s="142" t="str">
        <f>IF(Bordero!B59="","",Bordero!$C$3)</f>
        <v/>
      </c>
      <c r="W52" s="31"/>
      <c r="X52" s="31" t="str">
        <f>IF(Bordero!B59="","",Bordero!K59)</f>
        <v/>
      </c>
      <c r="Y52" s="31"/>
      <c r="Z52" s="31"/>
      <c r="AA52" s="31"/>
      <c r="AB52" s="31"/>
      <c r="AC52" s="31"/>
      <c r="AD52" s="31"/>
    </row>
    <row r="53" spans="1:30">
      <c r="A53" s="31" t="str">
        <f>IF(Bordero!B60="","",IF(Bordero!$E$3="Comissária",Bordero!$C$4,Bordero!C60))</f>
        <v/>
      </c>
      <c r="B53" s="31" t="str">
        <f>IF(Bordero!B60="","",Bordero!B60)</f>
        <v/>
      </c>
      <c r="C53" s="31" t="str">
        <f>IF(Bordero!B60="","",IF(Bordero!$E$3="Comissária",Bordero!G55,Bordero!G60))</f>
        <v/>
      </c>
      <c r="D53" s="47" t="str">
        <f>IF(Bordero!B60="","",Bordero!I60)</f>
        <v/>
      </c>
      <c r="E53" s="31" t="str">
        <f>IF(Bordero!B60="","",Bordero!F60)</f>
        <v/>
      </c>
      <c r="F53" s="31"/>
      <c r="G53" s="31" t="str">
        <f>IF(Bordero!B60="","",Bordero!D60)</f>
        <v/>
      </c>
      <c r="H53" s="31"/>
      <c r="I53" s="110" t="str">
        <f>IF(Bordero!B60="","",5%)</f>
        <v/>
      </c>
      <c r="J53" s="110" t="str">
        <f>IF(Bordero!B60="","",2%)</f>
        <v/>
      </c>
      <c r="K53" s="111" t="str">
        <f>IF(Bordero!B60="","",90)</f>
        <v/>
      </c>
      <c r="L53" s="31"/>
      <c r="M53" s="37"/>
      <c r="N53" s="31"/>
      <c r="O53" s="37"/>
      <c r="P53" s="31"/>
      <c r="Q53" s="37"/>
      <c r="R53" s="31"/>
      <c r="S53" s="31"/>
      <c r="T53" s="31" t="str">
        <f>IF(Bordero!B60="","","several")</f>
        <v/>
      </c>
      <c r="U53" s="31" t="str">
        <f>IF(Bordero!B60="","",Bordero!$C$4)</f>
        <v/>
      </c>
      <c r="V53" s="142" t="str">
        <f>IF(Bordero!B60="","",Bordero!$C$3)</f>
        <v/>
      </c>
      <c r="W53" s="31"/>
      <c r="X53" s="31" t="str">
        <f>IF(Bordero!B60="","",Bordero!K60)</f>
        <v/>
      </c>
      <c r="Y53" s="31"/>
      <c r="Z53" s="31"/>
      <c r="AA53" s="31"/>
      <c r="AB53" s="31"/>
      <c r="AC53" s="31"/>
      <c r="AD53" s="31"/>
    </row>
    <row r="54" spans="1:30">
      <c r="A54" s="31" t="str">
        <f>IF(Bordero!B61="","",IF(Bordero!$E$3="Comissária",Bordero!$C$4,Bordero!C61))</f>
        <v/>
      </c>
      <c r="B54" s="31" t="str">
        <f>IF(Bordero!B61="","",Bordero!B61)</f>
        <v/>
      </c>
      <c r="C54" s="31" t="str">
        <f>IF(Bordero!B61="","",IF(Bordero!$E$3="Comissária",Bordero!G56,Bordero!G61))</f>
        <v/>
      </c>
      <c r="D54" s="47" t="str">
        <f>IF(Bordero!B61="","",Bordero!I61)</f>
        <v/>
      </c>
      <c r="E54" s="31" t="str">
        <f>IF(Bordero!B61="","",Bordero!F61)</f>
        <v/>
      </c>
      <c r="F54" s="31"/>
      <c r="G54" s="31" t="str">
        <f>IF(Bordero!B61="","",Bordero!D61)</f>
        <v/>
      </c>
      <c r="H54" s="31"/>
      <c r="I54" s="110" t="str">
        <f>IF(Bordero!B61="","",5%)</f>
        <v/>
      </c>
      <c r="J54" s="110" t="str">
        <f>IF(Bordero!B61="","",2%)</f>
        <v/>
      </c>
      <c r="K54" s="111" t="str">
        <f>IF(Bordero!B61="","",90)</f>
        <v/>
      </c>
      <c r="L54" s="31"/>
      <c r="M54" s="37"/>
      <c r="N54" s="31"/>
      <c r="O54" s="37"/>
      <c r="P54" s="31"/>
      <c r="Q54" s="37"/>
      <c r="R54" s="31"/>
      <c r="S54" s="31"/>
      <c r="T54" s="31" t="str">
        <f>IF(Bordero!B61="","","several")</f>
        <v/>
      </c>
      <c r="U54" s="31" t="str">
        <f>IF(Bordero!B61="","",Bordero!$C$4)</f>
        <v/>
      </c>
      <c r="V54" s="142" t="str">
        <f>IF(Bordero!B61="","",Bordero!$C$3)</f>
        <v/>
      </c>
      <c r="W54" s="31"/>
      <c r="X54" s="31" t="str">
        <f>IF(Bordero!B61="","",Bordero!K61)</f>
        <v/>
      </c>
      <c r="Y54" s="31"/>
      <c r="Z54" s="31"/>
      <c r="AA54" s="31"/>
      <c r="AB54" s="31"/>
      <c r="AC54" s="31"/>
      <c r="AD54" s="31"/>
    </row>
    <row r="55" spans="1:30">
      <c r="A55" s="31" t="str">
        <f>IF(Bordero!B62="","",IF(Bordero!$E$3="Comissária",Bordero!$C$4,Bordero!C62))</f>
        <v/>
      </c>
      <c r="B55" s="31" t="str">
        <f>IF(Bordero!B62="","",Bordero!B62)</f>
        <v/>
      </c>
      <c r="C55" s="31" t="str">
        <f>IF(Bordero!B62="","",IF(Bordero!$E$3="Comissária",Bordero!G57,Bordero!G62))</f>
        <v/>
      </c>
      <c r="D55" s="47" t="str">
        <f>IF(Bordero!B62="","",Bordero!I62)</f>
        <v/>
      </c>
      <c r="E55" s="31" t="str">
        <f>IF(Bordero!B62="","",Bordero!F62)</f>
        <v/>
      </c>
      <c r="F55" s="31"/>
      <c r="G55" s="31" t="str">
        <f>IF(Bordero!B62="","",Bordero!D62)</f>
        <v/>
      </c>
      <c r="H55" s="31"/>
      <c r="I55" s="110" t="str">
        <f>IF(Bordero!B62="","",5%)</f>
        <v/>
      </c>
      <c r="J55" s="110" t="str">
        <f>IF(Bordero!B62="","",2%)</f>
        <v/>
      </c>
      <c r="K55" s="111" t="str">
        <f>IF(Bordero!B62="","",90)</f>
        <v/>
      </c>
      <c r="L55" s="31"/>
      <c r="M55" s="37"/>
      <c r="N55" s="31"/>
      <c r="O55" s="37"/>
      <c r="P55" s="31"/>
      <c r="Q55" s="37"/>
      <c r="R55" s="31"/>
      <c r="S55" s="31"/>
      <c r="T55" s="31" t="str">
        <f>IF(Bordero!B62="","","several")</f>
        <v/>
      </c>
      <c r="U55" s="31" t="str">
        <f>IF(Bordero!B62="","",Bordero!$C$4)</f>
        <v/>
      </c>
      <c r="V55" s="142" t="str">
        <f>IF(Bordero!B62="","",Bordero!$C$3)</f>
        <v/>
      </c>
      <c r="W55" s="31"/>
      <c r="X55" s="31" t="str">
        <f>IF(Bordero!B62="","",Bordero!K62)</f>
        <v/>
      </c>
      <c r="Y55" s="31"/>
      <c r="Z55" s="31"/>
      <c r="AA55" s="31"/>
      <c r="AB55" s="31"/>
      <c r="AC55" s="31"/>
      <c r="AD55" s="31"/>
    </row>
    <row r="56" spans="1:30">
      <c r="A56" s="31" t="str">
        <f>IF(Bordero!B63="","",IF(Bordero!$E$3="Comissária",Bordero!$C$4,Bordero!C63))</f>
        <v/>
      </c>
      <c r="B56" s="31" t="str">
        <f>IF(Bordero!B63="","",Bordero!B63)</f>
        <v/>
      </c>
      <c r="C56" s="31" t="str">
        <f>IF(Bordero!B63="","",IF(Bordero!$E$3="Comissária",Bordero!G58,Bordero!G63))</f>
        <v/>
      </c>
      <c r="D56" s="47" t="str">
        <f>IF(Bordero!B63="","",Bordero!I63)</f>
        <v/>
      </c>
      <c r="E56" s="31" t="str">
        <f>IF(Bordero!B63="","",Bordero!F63)</f>
        <v/>
      </c>
      <c r="F56" s="31"/>
      <c r="G56" s="31" t="str">
        <f>IF(Bordero!B63="","",Bordero!D63)</f>
        <v/>
      </c>
      <c r="H56" s="31"/>
      <c r="I56" s="110" t="str">
        <f>IF(Bordero!B63="","",5%)</f>
        <v/>
      </c>
      <c r="J56" s="110" t="str">
        <f>IF(Bordero!B63="","",2%)</f>
        <v/>
      </c>
      <c r="K56" s="111" t="str">
        <f>IF(Bordero!B63="","",90)</f>
        <v/>
      </c>
      <c r="L56" s="31"/>
      <c r="M56" s="37"/>
      <c r="N56" s="31"/>
      <c r="O56" s="37"/>
      <c r="P56" s="31"/>
      <c r="Q56" s="37"/>
      <c r="R56" s="31"/>
      <c r="S56" s="31"/>
      <c r="T56" s="31" t="str">
        <f>IF(Bordero!B63="","","several")</f>
        <v/>
      </c>
      <c r="U56" s="31" t="str">
        <f>IF(Bordero!B63="","",Bordero!$C$4)</f>
        <v/>
      </c>
      <c r="V56" s="142" t="str">
        <f>IF(Bordero!B63="","",Bordero!$C$3)</f>
        <v/>
      </c>
      <c r="W56" s="31"/>
      <c r="X56" s="31" t="str">
        <f>IF(Bordero!B63="","",Bordero!K63)</f>
        <v/>
      </c>
      <c r="Y56" s="31"/>
      <c r="Z56" s="31"/>
      <c r="AA56" s="31"/>
      <c r="AB56" s="31"/>
      <c r="AC56" s="31"/>
      <c r="AD56" s="31"/>
    </row>
    <row r="57" spans="1:30">
      <c r="A57" s="31" t="str">
        <f>IF(Bordero!B64="","",IF(Bordero!$E$3="Comissária",Bordero!$C$4,Bordero!C64))</f>
        <v/>
      </c>
      <c r="B57" s="31" t="str">
        <f>IF(Bordero!B64="","",Bordero!B64)</f>
        <v/>
      </c>
      <c r="C57" s="31" t="str">
        <f>IF(Bordero!B64="","",IF(Bordero!$E$3="Comissária",Bordero!G59,Bordero!G64))</f>
        <v/>
      </c>
      <c r="D57" s="47" t="str">
        <f>IF(Bordero!B64="","",Bordero!I64)</f>
        <v/>
      </c>
      <c r="E57" s="31" t="str">
        <f>IF(Bordero!B64="","",Bordero!F64)</f>
        <v/>
      </c>
      <c r="F57" s="31"/>
      <c r="G57" s="31" t="str">
        <f>IF(Bordero!B64="","",Bordero!D64)</f>
        <v/>
      </c>
      <c r="H57" s="31"/>
      <c r="I57" s="110" t="str">
        <f>IF(Bordero!B64="","",5%)</f>
        <v/>
      </c>
      <c r="J57" s="110" t="str">
        <f>IF(Bordero!B64="","",2%)</f>
        <v/>
      </c>
      <c r="K57" s="111" t="str">
        <f>IF(Bordero!B64="","",90)</f>
        <v/>
      </c>
      <c r="L57" s="31"/>
      <c r="M57" s="37"/>
      <c r="N57" s="31"/>
      <c r="O57" s="37"/>
      <c r="P57" s="31"/>
      <c r="Q57" s="37"/>
      <c r="R57" s="31"/>
      <c r="S57" s="31"/>
      <c r="T57" s="31" t="str">
        <f>IF(Bordero!B64="","","several")</f>
        <v/>
      </c>
      <c r="U57" s="31" t="str">
        <f>IF(Bordero!B64="","",Bordero!$C$4)</f>
        <v/>
      </c>
      <c r="V57" s="142" t="str">
        <f>IF(Bordero!B64="","",Bordero!$C$3)</f>
        <v/>
      </c>
      <c r="W57" s="31"/>
      <c r="X57" s="31" t="str">
        <f>IF(Bordero!B64="","",Bordero!K64)</f>
        <v/>
      </c>
      <c r="Y57" s="31"/>
      <c r="Z57" s="31"/>
      <c r="AA57" s="31"/>
      <c r="AB57" s="31"/>
      <c r="AC57" s="31"/>
      <c r="AD57" s="31"/>
    </row>
    <row r="58" spans="1:30">
      <c r="A58" s="31" t="str">
        <f>IF(Bordero!B65="","",IF(Bordero!$E$3="Comissária",Bordero!$C$4,Bordero!C65))</f>
        <v/>
      </c>
      <c r="B58" s="31" t="str">
        <f>IF(Bordero!B65="","",Bordero!B65)</f>
        <v/>
      </c>
      <c r="C58" s="31" t="str">
        <f>IF(Bordero!B65="","",IF(Bordero!$E$3="Comissária",Bordero!G60,Bordero!G65))</f>
        <v/>
      </c>
      <c r="D58" s="47" t="str">
        <f>IF(Bordero!B65="","",Bordero!I65)</f>
        <v/>
      </c>
      <c r="E58" s="31" t="str">
        <f>IF(Bordero!B65="","",Bordero!F65)</f>
        <v/>
      </c>
      <c r="F58" s="31"/>
      <c r="G58" s="31" t="str">
        <f>IF(Bordero!B65="","",Bordero!D65)</f>
        <v/>
      </c>
      <c r="H58" s="31"/>
      <c r="I58" s="110" t="str">
        <f>IF(Bordero!B65="","",5%)</f>
        <v/>
      </c>
      <c r="J58" s="110" t="str">
        <f>IF(Bordero!B65="","",2%)</f>
        <v/>
      </c>
      <c r="K58" s="111" t="str">
        <f>IF(Bordero!B65="","",90)</f>
        <v/>
      </c>
      <c r="L58" s="31"/>
      <c r="M58" s="37"/>
      <c r="N58" s="31"/>
      <c r="O58" s="37"/>
      <c r="P58" s="31"/>
      <c r="Q58" s="37"/>
      <c r="R58" s="31"/>
      <c r="S58" s="31"/>
      <c r="T58" s="31" t="str">
        <f>IF(Bordero!B65="","","several")</f>
        <v/>
      </c>
      <c r="U58" s="31" t="str">
        <f>IF(Bordero!B65="","",Bordero!$C$4)</f>
        <v/>
      </c>
      <c r="V58" s="142" t="str">
        <f>IF(Bordero!B65="","",Bordero!$C$3)</f>
        <v/>
      </c>
      <c r="W58" s="31"/>
      <c r="X58" s="31" t="str">
        <f>IF(Bordero!B65="","",Bordero!K65)</f>
        <v/>
      </c>
      <c r="Y58" s="31"/>
      <c r="Z58" s="31"/>
      <c r="AA58" s="31"/>
      <c r="AB58" s="31"/>
      <c r="AC58" s="31"/>
      <c r="AD58" s="31"/>
    </row>
    <row r="59" spans="1:30">
      <c r="A59" s="31" t="str">
        <f>IF(Bordero!B66="","",IF(Bordero!$E$3="Comissária",Bordero!$C$4,Bordero!C66))</f>
        <v/>
      </c>
      <c r="B59" s="31" t="str">
        <f>IF(Bordero!B66="","",Bordero!B66)</f>
        <v/>
      </c>
      <c r="C59" s="31" t="str">
        <f>IF(Bordero!B66="","",IF(Bordero!$E$3="Comissária",Bordero!G61,Bordero!G66))</f>
        <v/>
      </c>
      <c r="D59" s="47" t="str">
        <f>IF(Bordero!B66="","",Bordero!I66)</f>
        <v/>
      </c>
      <c r="E59" s="31" t="str">
        <f>IF(Bordero!B66="","",Bordero!F66)</f>
        <v/>
      </c>
      <c r="F59" s="31"/>
      <c r="G59" s="31" t="str">
        <f>IF(Bordero!B66="","",Bordero!D66)</f>
        <v/>
      </c>
      <c r="H59" s="31"/>
      <c r="I59" s="110" t="str">
        <f>IF(Bordero!B66="","",5%)</f>
        <v/>
      </c>
      <c r="J59" s="110" t="str">
        <f>IF(Bordero!B66="","",2%)</f>
        <v/>
      </c>
      <c r="K59" s="111" t="str">
        <f>IF(Bordero!B66="","",90)</f>
        <v/>
      </c>
      <c r="L59" s="31"/>
      <c r="M59" s="37"/>
      <c r="N59" s="31"/>
      <c r="O59" s="37"/>
      <c r="P59" s="31"/>
      <c r="Q59" s="37"/>
      <c r="R59" s="31"/>
      <c r="S59" s="31"/>
      <c r="T59" s="31" t="str">
        <f>IF(Bordero!B66="","","several")</f>
        <v/>
      </c>
      <c r="U59" s="31" t="str">
        <f>IF(Bordero!B66="","",Bordero!$C$4)</f>
        <v/>
      </c>
      <c r="V59" s="142" t="str">
        <f>IF(Bordero!B66="","",Bordero!$C$3)</f>
        <v/>
      </c>
      <c r="W59" s="31"/>
      <c r="X59" s="31" t="str">
        <f>IF(Bordero!B66="","",Bordero!K66)</f>
        <v/>
      </c>
      <c r="Y59" s="31"/>
      <c r="Z59" s="31"/>
      <c r="AA59" s="31"/>
      <c r="AB59" s="31"/>
      <c r="AC59" s="31"/>
      <c r="AD59" s="31"/>
    </row>
    <row r="60" spans="1:30">
      <c r="A60" s="31" t="str">
        <f>IF(Bordero!B67="","",IF(Bordero!$E$3="Comissária",Bordero!$C$4,Bordero!C67))</f>
        <v/>
      </c>
      <c r="B60" s="31" t="str">
        <f>IF(Bordero!B67="","",Bordero!B67)</f>
        <v/>
      </c>
      <c r="C60" s="31" t="str">
        <f>IF(Bordero!B67="","",IF(Bordero!$E$3="Comissária",Bordero!G62,Bordero!G67))</f>
        <v/>
      </c>
      <c r="D60" s="47" t="str">
        <f>IF(Bordero!B67="","",Bordero!I67)</f>
        <v/>
      </c>
      <c r="E60" s="31" t="str">
        <f>IF(Bordero!B67="","",Bordero!F67)</f>
        <v/>
      </c>
      <c r="F60" s="31"/>
      <c r="G60" s="31" t="str">
        <f>IF(Bordero!B67="","",Bordero!D67)</f>
        <v/>
      </c>
      <c r="H60" s="31"/>
      <c r="I60" s="110" t="str">
        <f>IF(Bordero!B67="","",5%)</f>
        <v/>
      </c>
      <c r="J60" s="110" t="str">
        <f>IF(Bordero!B67="","",2%)</f>
        <v/>
      </c>
      <c r="K60" s="111" t="str">
        <f>IF(Bordero!B67="","",90)</f>
        <v/>
      </c>
      <c r="L60" s="31"/>
      <c r="M60" s="37"/>
      <c r="N60" s="31"/>
      <c r="O60" s="37"/>
      <c r="P60" s="31"/>
      <c r="Q60" s="37"/>
      <c r="R60" s="31"/>
      <c r="S60" s="31"/>
      <c r="T60" s="31" t="str">
        <f>IF(Bordero!B67="","","several")</f>
        <v/>
      </c>
      <c r="U60" s="31" t="str">
        <f>IF(Bordero!B67="","",Bordero!$C$4)</f>
        <v/>
      </c>
      <c r="V60" s="142" t="str">
        <f>IF(Bordero!B67="","",Bordero!$C$3)</f>
        <v/>
      </c>
      <c r="W60" s="31"/>
      <c r="X60" s="31" t="str">
        <f>IF(Bordero!B67="","",Bordero!K67)</f>
        <v/>
      </c>
      <c r="Y60" s="31"/>
      <c r="Z60" s="31"/>
      <c r="AA60" s="31"/>
      <c r="AB60" s="31"/>
      <c r="AC60" s="31"/>
      <c r="AD60" s="31"/>
    </row>
    <row r="61" spans="1:30">
      <c r="A61" s="31" t="str">
        <f>IF(Bordero!B68="","",IF(Bordero!$E$3="Comissária",Bordero!$C$4,Bordero!C68))</f>
        <v/>
      </c>
      <c r="B61" s="31" t="str">
        <f>IF(Bordero!B68="","",Bordero!B68)</f>
        <v/>
      </c>
      <c r="C61" s="31" t="str">
        <f>IF(Bordero!B68="","",IF(Bordero!$E$3="Comissária",Bordero!G63,Bordero!G68))</f>
        <v/>
      </c>
      <c r="D61" s="47" t="str">
        <f>IF(Bordero!B68="","",Bordero!I68)</f>
        <v/>
      </c>
      <c r="E61" s="31" t="str">
        <f>IF(Bordero!B68="","",Bordero!F68)</f>
        <v/>
      </c>
      <c r="F61" s="31"/>
      <c r="G61" s="31" t="str">
        <f>IF(Bordero!B68="","",Bordero!D68)</f>
        <v/>
      </c>
      <c r="H61" s="31"/>
      <c r="I61" s="110" t="str">
        <f>IF(Bordero!B68="","",5%)</f>
        <v/>
      </c>
      <c r="J61" s="110" t="str">
        <f>IF(Bordero!B68="","",2%)</f>
        <v/>
      </c>
      <c r="K61" s="111" t="str">
        <f>IF(Bordero!B68="","",90)</f>
        <v/>
      </c>
      <c r="L61" s="31"/>
      <c r="M61" s="37"/>
      <c r="N61" s="31"/>
      <c r="O61" s="37"/>
      <c r="P61" s="31"/>
      <c r="Q61" s="37"/>
      <c r="R61" s="31"/>
      <c r="S61" s="31"/>
      <c r="T61" s="31" t="str">
        <f>IF(Bordero!B68="","","several")</f>
        <v/>
      </c>
      <c r="U61" s="31" t="str">
        <f>IF(Bordero!B68="","",Bordero!$C$4)</f>
        <v/>
      </c>
      <c r="V61" s="142" t="str">
        <f>IF(Bordero!B68="","",Bordero!$C$3)</f>
        <v/>
      </c>
      <c r="W61" s="31"/>
      <c r="X61" s="31" t="str">
        <f>IF(Bordero!B68="","",Bordero!K68)</f>
        <v/>
      </c>
      <c r="Y61" s="31"/>
      <c r="Z61" s="31"/>
      <c r="AA61" s="31"/>
      <c r="AB61" s="31"/>
      <c r="AC61" s="31"/>
      <c r="AD61" s="31"/>
    </row>
    <row r="62" spans="1:30">
      <c r="A62" s="31" t="str">
        <f>IF(Bordero!B69="","",IF(Bordero!$E$3="Comissária",Bordero!$C$4,Bordero!C69))</f>
        <v/>
      </c>
      <c r="B62" s="31" t="str">
        <f>IF(Bordero!B69="","",Bordero!B69)</f>
        <v/>
      </c>
      <c r="C62" s="31" t="str">
        <f>IF(Bordero!B69="","",IF(Bordero!$E$3="Comissária",Bordero!G64,Bordero!G69))</f>
        <v/>
      </c>
      <c r="D62" s="47" t="str">
        <f>IF(Bordero!B69="","",Bordero!I69)</f>
        <v/>
      </c>
      <c r="E62" s="31" t="str">
        <f>IF(Bordero!B69="","",Bordero!F69)</f>
        <v/>
      </c>
      <c r="F62" s="31"/>
      <c r="G62" s="31" t="str">
        <f>IF(Bordero!B69="","",Bordero!D69)</f>
        <v/>
      </c>
      <c r="H62" s="31"/>
      <c r="I62" s="110" t="str">
        <f>IF(Bordero!B69="","",5%)</f>
        <v/>
      </c>
      <c r="J62" s="110" t="str">
        <f>IF(Bordero!B69="","",2%)</f>
        <v/>
      </c>
      <c r="K62" s="111" t="str">
        <f>IF(Bordero!B69="","",90)</f>
        <v/>
      </c>
      <c r="L62" s="31"/>
      <c r="M62" s="37"/>
      <c r="N62" s="31"/>
      <c r="O62" s="37"/>
      <c r="P62" s="31"/>
      <c r="Q62" s="37"/>
      <c r="R62" s="31"/>
      <c r="S62" s="31"/>
      <c r="T62" s="31" t="str">
        <f>IF(Bordero!B69="","","several")</f>
        <v/>
      </c>
      <c r="U62" s="31" t="str">
        <f>IF(Bordero!B69="","",Bordero!$C$4)</f>
        <v/>
      </c>
      <c r="V62" s="142" t="str">
        <f>IF(Bordero!B69="","",Bordero!$C$3)</f>
        <v/>
      </c>
      <c r="W62" s="31"/>
      <c r="X62" s="31" t="str">
        <f>IF(Bordero!B69="","",Bordero!K69)</f>
        <v/>
      </c>
      <c r="Y62" s="31"/>
      <c r="Z62" s="31"/>
      <c r="AA62" s="31"/>
      <c r="AB62" s="31"/>
      <c r="AC62" s="31"/>
      <c r="AD62" s="31"/>
    </row>
    <row r="63" spans="1:30">
      <c r="A63" s="31" t="str">
        <f>IF(Bordero!B70="","",IF(Bordero!$E$3="Comissária",Bordero!$C$4,Bordero!C70))</f>
        <v/>
      </c>
      <c r="B63" s="31" t="str">
        <f>IF(Bordero!B70="","",Bordero!B70)</f>
        <v/>
      </c>
      <c r="C63" s="31" t="str">
        <f>IF(Bordero!B70="","",IF(Bordero!$E$3="Comissária",Bordero!G65,Bordero!G70))</f>
        <v/>
      </c>
      <c r="D63" s="47" t="str">
        <f>IF(Bordero!B70="","",Bordero!I70)</f>
        <v/>
      </c>
      <c r="E63" s="31" t="str">
        <f>IF(Bordero!B70="","",Bordero!F70)</f>
        <v/>
      </c>
      <c r="F63" s="31"/>
      <c r="G63" s="31" t="str">
        <f>IF(Bordero!B70="","",Bordero!D70)</f>
        <v/>
      </c>
      <c r="H63" s="31"/>
      <c r="I63" s="110" t="str">
        <f>IF(Bordero!B70="","",5%)</f>
        <v/>
      </c>
      <c r="J63" s="110" t="str">
        <f>IF(Bordero!B70="","",2%)</f>
        <v/>
      </c>
      <c r="K63" s="111" t="str">
        <f>IF(Bordero!B70="","",90)</f>
        <v/>
      </c>
      <c r="L63" s="31"/>
      <c r="M63" s="37"/>
      <c r="N63" s="31"/>
      <c r="O63" s="37"/>
      <c r="P63" s="31"/>
      <c r="Q63" s="37"/>
      <c r="R63" s="31"/>
      <c r="S63" s="31"/>
      <c r="T63" s="31" t="str">
        <f>IF(Bordero!B70="","","several")</f>
        <v/>
      </c>
      <c r="U63" s="31" t="str">
        <f>IF(Bordero!B70="","",Bordero!$C$4)</f>
        <v/>
      </c>
      <c r="V63" s="142" t="str">
        <f>IF(Bordero!B70="","",Bordero!$C$3)</f>
        <v/>
      </c>
      <c r="W63" s="31"/>
      <c r="X63" s="31" t="str">
        <f>IF(Bordero!B70="","",Bordero!K70)</f>
        <v/>
      </c>
      <c r="Y63" s="31"/>
      <c r="Z63" s="31"/>
      <c r="AA63" s="31"/>
      <c r="AB63" s="31"/>
      <c r="AC63" s="31"/>
      <c r="AD63" s="31"/>
    </row>
    <row r="64" spans="1:30">
      <c r="A64" s="31" t="str">
        <f>IF(Bordero!B71="","",IF(Bordero!$E$3="Comissária",Bordero!$C$4,Bordero!C71))</f>
        <v/>
      </c>
      <c r="B64" s="31" t="str">
        <f>IF(Bordero!B71="","",Bordero!B71)</f>
        <v/>
      </c>
      <c r="C64" s="31" t="str">
        <f>IF(Bordero!B71="","",IF(Bordero!$E$3="Comissária",Bordero!G66,Bordero!G71))</f>
        <v/>
      </c>
      <c r="D64" s="47" t="str">
        <f>IF(Bordero!B71="","",Bordero!I71)</f>
        <v/>
      </c>
      <c r="E64" s="31" t="str">
        <f>IF(Bordero!B71="","",Bordero!F71)</f>
        <v/>
      </c>
      <c r="F64" s="31"/>
      <c r="G64" s="31" t="str">
        <f>IF(Bordero!B71="","",Bordero!D71)</f>
        <v/>
      </c>
      <c r="H64" s="31"/>
      <c r="I64" s="110" t="str">
        <f>IF(Bordero!B71="","",5%)</f>
        <v/>
      </c>
      <c r="J64" s="110" t="str">
        <f>IF(Bordero!B71="","",2%)</f>
        <v/>
      </c>
      <c r="K64" s="111" t="str">
        <f>IF(Bordero!B71="","",90)</f>
        <v/>
      </c>
      <c r="L64" s="31"/>
      <c r="M64" s="37"/>
      <c r="N64" s="31"/>
      <c r="O64" s="37"/>
      <c r="P64" s="31"/>
      <c r="Q64" s="37"/>
      <c r="R64" s="31"/>
      <c r="S64" s="31"/>
      <c r="T64" s="31" t="str">
        <f>IF(Bordero!B71="","","several")</f>
        <v/>
      </c>
      <c r="U64" s="31" t="str">
        <f>IF(Bordero!B71="","",Bordero!$C$4)</f>
        <v/>
      </c>
      <c r="V64" s="142" t="str">
        <f>IF(Bordero!B71="","",Bordero!$C$3)</f>
        <v/>
      </c>
      <c r="W64" s="31"/>
      <c r="X64" s="31" t="str">
        <f>IF(Bordero!B71="","",Bordero!K71)</f>
        <v/>
      </c>
      <c r="Y64" s="31"/>
      <c r="Z64" s="31"/>
      <c r="AA64" s="31"/>
      <c r="AB64" s="31"/>
      <c r="AC64" s="31"/>
      <c r="AD64" s="31"/>
    </row>
    <row r="65" spans="1:30">
      <c r="A65" s="31" t="str">
        <f>IF(Bordero!B72="","",IF(Bordero!$E$3="Comissária",Bordero!$C$4,Bordero!C72))</f>
        <v/>
      </c>
      <c r="B65" s="31" t="str">
        <f>IF(Bordero!B72="","",Bordero!B72)</f>
        <v/>
      </c>
      <c r="C65" s="31" t="str">
        <f>IF(Bordero!B72="","",IF(Bordero!$E$3="Comissária",Bordero!G67,Bordero!G72))</f>
        <v/>
      </c>
      <c r="D65" s="47" t="str">
        <f>IF(Bordero!B72="","",Bordero!I72)</f>
        <v/>
      </c>
      <c r="E65" s="31" t="str">
        <f>IF(Bordero!B72="","",Bordero!F72)</f>
        <v/>
      </c>
      <c r="F65" s="31"/>
      <c r="G65" s="31" t="str">
        <f>IF(Bordero!B72="","",Bordero!D72)</f>
        <v/>
      </c>
      <c r="H65" s="31"/>
      <c r="I65" s="110" t="str">
        <f>IF(Bordero!B72="","",5%)</f>
        <v/>
      </c>
      <c r="J65" s="110" t="str">
        <f>IF(Bordero!B72="","",2%)</f>
        <v/>
      </c>
      <c r="K65" s="111" t="str">
        <f>IF(Bordero!B72="","",90)</f>
        <v/>
      </c>
      <c r="L65" s="31"/>
      <c r="M65" s="37"/>
      <c r="N65" s="31"/>
      <c r="O65" s="37"/>
      <c r="P65" s="31"/>
      <c r="Q65" s="37"/>
      <c r="R65" s="31"/>
      <c r="S65" s="31"/>
      <c r="T65" s="31" t="str">
        <f>IF(Bordero!B72="","","several")</f>
        <v/>
      </c>
      <c r="U65" s="31" t="str">
        <f>IF(Bordero!B72="","",Bordero!$C$4)</f>
        <v/>
      </c>
      <c r="V65" s="142" t="str">
        <f>IF(Bordero!B72="","",Bordero!$C$3)</f>
        <v/>
      </c>
      <c r="W65" s="31"/>
      <c r="X65" s="31" t="str">
        <f>IF(Bordero!B72="","",Bordero!K72)</f>
        <v/>
      </c>
      <c r="Y65" s="31"/>
      <c r="Z65" s="31"/>
      <c r="AA65" s="31"/>
      <c r="AB65" s="31"/>
      <c r="AC65" s="31"/>
      <c r="AD65" s="31"/>
    </row>
    <row r="66" spans="1:30">
      <c r="A66" s="31" t="str">
        <f>IF(Bordero!B73="","",IF(Bordero!$E$3="Comissária",Bordero!$C$4,Bordero!C73))</f>
        <v/>
      </c>
      <c r="B66" s="31" t="str">
        <f>IF(Bordero!B73="","",Bordero!B73)</f>
        <v/>
      </c>
      <c r="C66" s="31" t="str">
        <f>IF(Bordero!B73="","",IF(Bordero!$E$3="Comissária",Bordero!G68,Bordero!G73))</f>
        <v/>
      </c>
      <c r="D66" s="47" t="str">
        <f>IF(Bordero!B73="","",Bordero!I73)</f>
        <v/>
      </c>
      <c r="E66" s="31" t="str">
        <f>IF(Bordero!B73="","",Bordero!F73)</f>
        <v/>
      </c>
      <c r="F66" s="31"/>
      <c r="G66" s="31" t="str">
        <f>IF(Bordero!B73="","",Bordero!D73)</f>
        <v/>
      </c>
      <c r="H66" s="31"/>
      <c r="I66" s="110" t="str">
        <f>IF(Bordero!B73="","",5%)</f>
        <v/>
      </c>
      <c r="J66" s="110" t="str">
        <f>IF(Bordero!B73="","",2%)</f>
        <v/>
      </c>
      <c r="K66" s="111" t="str">
        <f>IF(Bordero!B73="","",90)</f>
        <v/>
      </c>
      <c r="L66" s="31"/>
      <c r="M66" s="37"/>
      <c r="N66" s="31"/>
      <c r="O66" s="37"/>
      <c r="P66" s="31"/>
      <c r="Q66" s="37"/>
      <c r="R66" s="31"/>
      <c r="S66" s="31"/>
      <c r="T66" s="31" t="str">
        <f>IF(Bordero!B73="","","several")</f>
        <v/>
      </c>
      <c r="U66" s="31" t="str">
        <f>IF(Bordero!B73="","",Bordero!$C$4)</f>
        <v/>
      </c>
      <c r="V66" s="142" t="str">
        <f>IF(Bordero!B73="","",Bordero!$C$3)</f>
        <v/>
      </c>
      <c r="W66" s="31"/>
      <c r="X66" s="31" t="str">
        <f>IF(Bordero!B73="","",Bordero!K73)</f>
        <v/>
      </c>
      <c r="Y66" s="31"/>
      <c r="Z66" s="31"/>
      <c r="AA66" s="31"/>
      <c r="AB66" s="31"/>
      <c r="AC66" s="31"/>
      <c r="AD66" s="31"/>
    </row>
    <row r="67" spans="1:30">
      <c r="A67" s="31" t="str">
        <f>IF(Bordero!B74="","",IF(Bordero!$E$3="Comissária",Bordero!$C$4,Bordero!C74))</f>
        <v/>
      </c>
      <c r="B67" s="31" t="str">
        <f>IF(Bordero!B74="","",Bordero!B74)</f>
        <v/>
      </c>
      <c r="C67" s="31" t="str">
        <f>IF(Bordero!B74="","",IF(Bordero!$E$3="Comissária",Bordero!G69,Bordero!G74))</f>
        <v/>
      </c>
      <c r="D67" s="47" t="str">
        <f>IF(Bordero!B74="","",Bordero!I74)</f>
        <v/>
      </c>
      <c r="E67" s="31" t="str">
        <f>IF(Bordero!B74="","",Bordero!F74)</f>
        <v/>
      </c>
      <c r="F67" s="31"/>
      <c r="G67" s="31" t="str">
        <f>IF(Bordero!B74="","",Bordero!D74)</f>
        <v/>
      </c>
      <c r="H67" s="31"/>
      <c r="I67" s="110" t="str">
        <f>IF(Bordero!B74="","",5%)</f>
        <v/>
      </c>
      <c r="J67" s="110" t="str">
        <f>IF(Bordero!B74="","",2%)</f>
        <v/>
      </c>
      <c r="K67" s="111" t="str">
        <f>IF(Bordero!B74="","",90)</f>
        <v/>
      </c>
      <c r="L67" s="31"/>
      <c r="M67" s="37"/>
      <c r="N67" s="31"/>
      <c r="O67" s="37"/>
      <c r="P67" s="31"/>
      <c r="Q67" s="37"/>
      <c r="R67" s="31"/>
      <c r="S67" s="31"/>
      <c r="T67" s="31" t="str">
        <f>IF(Bordero!B74="","","several")</f>
        <v/>
      </c>
      <c r="U67" s="31" t="str">
        <f>IF(Bordero!B74="","",Bordero!$C$4)</f>
        <v/>
      </c>
      <c r="V67" s="142" t="str">
        <f>IF(Bordero!B74="","",Bordero!$C$3)</f>
        <v/>
      </c>
      <c r="W67" s="31"/>
      <c r="X67" s="31" t="str">
        <f>IF(Bordero!B74="","",Bordero!K74)</f>
        <v/>
      </c>
      <c r="Y67" s="31"/>
      <c r="Z67" s="31"/>
      <c r="AA67" s="31"/>
      <c r="AB67" s="31"/>
      <c r="AC67" s="31"/>
      <c r="AD67" s="31"/>
    </row>
    <row r="68" spans="1:30">
      <c r="A68" s="31" t="str">
        <f>IF(Bordero!B75="","",IF(Bordero!$E$3="Comissária",Bordero!$C$4,Bordero!C75))</f>
        <v/>
      </c>
      <c r="B68" s="31" t="str">
        <f>IF(Bordero!B75="","",Bordero!B75)</f>
        <v/>
      </c>
      <c r="C68" s="31" t="str">
        <f>IF(Bordero!B75="","",IF(Bordero!$E$3="Comissária",Bordero!G70,Bordero!G75))</f>
        <v/>
      </c>
      <c r="D68" s="47" t="str">
        <f>IF(Bordero!B75="","",Bordero!I75)</f>
        <v/>
      </c>
      <c r="E68" s="31" t="str">
        <f>IF(Bordero!B75="","",Bordero!F75)</f>
        <v/>
      </c>
      <c r="F68" s="31"/>
      <c r="G68" s="31" t="str">
        <f>IF(Bordero!B75="","",Bordero!D75)</f>
        <v/>
      </c>
      <c r="H68" s="31"/>
      <c r="I68" s="110" t="str">
        <f>IF(Bordero!B75="","",5%)</f>
        <v/>
      </c>
      <c r="J68" s="110" t="str">
        <f>IF(Bordero!B75="","",2%)</f>
        <v/>
      </c>
      <c r="K68" s="111" t="str">
        <f>IF(Bordero!B75="","",90)</f>
        <v/>
      </c>
      <c r="L68" s="31"/>
      <c r="M68" s="37"/>
      <c r="N68" s="31"/>
      <c r="O68" s="37"/>
      <c r="P68" s="31"/>
      <c r="Q68" s="37"/>
      <c r="R68" s="31"/>
      <c r="S68" s="31"/>
      <c r="T68" s="31" t="str">
        <f>IF(Bordero!B75="","","several")</f>
        <v/>
      </c>
      <c r="U68" s="31" t="str">
        <f>IF(Bordero!B75="","",Bordero!$C$4)</f>
        <v/>
      </c>
      <c r="V68" s="142" t="str">
        <f>IF(Bordero!B75="","",Bordero!$C$3)</f>
        <v/>
      </c>
      <c r="W68" s="31"/>
      <c r="X68" s="31" t="str">
        <f>IF(Bordero!B75="","",Bordero!K75)</f>
        <v/>
      </c>
      <c r="Y68" s="31"/>
      <c r="Z68" s="31"/>
      <c r="AA68" s="31"/>
      <c r="AB68" s="31"/>
      <c r="AC68" s="31"/>
      <c r="AD68" s="31"/>
    </row>
    <row r="69" spans="1:30">
      <c r="A69" s="31" t="str">
        <f>IF(Bordero!B76="","",IF(Bordero!$E$3="Comissária",Bordero!$C$4,Bordero!C76))</f>
        <v/>
      </c>
      <c r="B69" s="31" t="str">
        <f>IF(Bordero!B76="","",Bordero!B76)</f>
        <v/>
      </c>
      <c r="C69" s="31" t="str">
        <f>IF(Bordero!B76="","",IF(Bordero!$E$3="Comissária",Bordero!G71,Bordero!G76))</f>
        <v/>
      </c>
      <c r="D69" s="47" t="str">
        <f>IF(Bordero!B76="","",Bordero!I76)</f>
        <v/>
      </c>
      <c r="E69" s="31" t="str">
        <f>IF(Bordero!B76="","",Bordero!F76)</f>
        <v/>
      </c>
      <c r="F69" s="31"/>
      <c r="G69" s="31" t="str">
        <f>IF(Bordero!B76="","",Bordero!D76)</f>
        <v/>
      </c>
      <c r="H69" s="31"/>
      <c r="I69" s="110" t="str">
        <f>IF(Bordero!B76="","",5%)</f>
        <v/>
      </c>
      <c r="J69" s="110" t="str">
        <f>IF(Bordero!B76="","",2%)</f>
        <v/>
      </c>
      <c r="K69" s="111" t="str">
        <f>IF(Bordero!B76="","",90)</f>
        <v/>
      </c>
      <c r="L69" s="31"/>
      <c r="M69" s="37"/>
      <c r="N69" s="31"/>
      <c r="O69" s="37"/>
      <c r="P69" s="31"/>
      <c r="Q69" s="37"/>
      <c r="R69" s="31"/>
      <c r="S69" s="31"/>
      <c r="T69" s="31" t="str">
        <f>IF(Bordero!B76="","","several")</f>
        <v/>
      </c>
      <c r="U69" s="31" t="str">
        <f>IF(Bordero!B76="","",Bordero!$C$4)</f>
        <v/>
      </c>
      <c r="V69" s="142" t="str">
        <f>IF(Bordero!B76="","",Bordero!$C$3)</f>
        <v/>
      </c>
      <c r="W69" s="31"/>
      <c r="X69" s="31" t="str">
        <f>IF(Bordero!B76="","",Bordero!K76)</f>
        <v/>
      </c>
      <c r="Y69" s="31"/>
      <c r="Z69" s="31"/>
      <c r="AA69" s="31"/>
      <c r="AB69" s="31"/>
      <c r="AC69" s="31"/>
      <c r="AD69" s="31"/>
    </row>
    <row r="70" spans="1:30">
      <c r="A70" s="31" t="str">
        <f>IF(Bordero!B77="","",IF(Bordero!$E$3="Comissária",Bordero!$C$4,Bordero!C77))</f>
        <v/>
      </c>
      <c r="B70" s="31" t="str">
        <f>IF(Bordero!B77="","",Bordero!B77)</f>
        <v/>
      </c>
      <c r="C70" s="31" t="str">
        <f>IF(Bordero!B77="","",IF(Bordero!$E$3="Comissária",Bordero!G72,Bordero!G77))</f>
        <v/>
      </c>
      <c r="D70" s="47" t="str">
        <f>IF(Bordero!B77="","",Bordero!I77)</f>
        <v/>
      </c>
      <c r="E70" s="31" t="str">
        <f>IF(Bordero!B77="","",Bordero!F77)</f>
        <v/>
      </c>
      <c r="F70" s="31"/>
      <c r="G70" s="31" t="str">
        <f>IF(Bordero!B77="","",Bordero!D77)</f>
        <v/>
      </c>
      <c r="H70" s="31"/>
      <c r="I70" s="110" t="str">
        <f>IF(Bordero!B77="","",5%)</f>
        <v/>
      </c>
      <c r="J70" s="110" t="str">
        <f>IF(Bordero!B77="","",2%)</f>
        <v/>
      </c>
      <c r="K70" s="111" t="str">
        <f>IF(Bordero!B77="","",90)</f>
        <v/>
      </c>
      <c r="L70" s="31"/>
      <c r="M70" s="37"/>
      <c r="N70" s="31"/>
      <c r="O70" s="37"/>
      <c r="P70" s="31"/>
      <c r="Q70" s="37"/>
      <c r="R70" s="31"/>
      <c r="S70" s="31"/>
      <c r="T70" s="31" t="str">
        <f>IF(Bordero!B77="","","several")</f>
        <v/>
      </c>
      <c r="U70" s="31" t="str">
        <f>IF(Bordero!B77="","",Bordero!$C$4)</f>
        <v/>
      </c>
      <c r="V70" s="142" t="str">
        <f>IF(Bordero!B77="","",Bordero!$C$3)</f>
        <v/>
      </c>
      <c r="W70" s="31"/>
      <c r="X70" s="31" t="str">
        <f>IF(Bordero!B77="","",Bordero!K77)</f>
        <v/>
      </c>
      <c r="Y70" s="31"/>
      <c r="Z70" s="31"/>
      <c r="AA70" s="31"/>
      <c r="AB70" s="31"/>
      <c r="AC70" s="31"/>
      <c r="AD70" s="31"/>
    </row>
    <row r="71" spans="1:30">
      <c r="A71" s="31" t="str">
        <f>IF(Bordero!B78="","",IF(Bordero!$E$3="Comissária",Bordero!$C$4,Bordero!C78))</f>
        <v/>
      </c>
      <c r="B71" s="31" t="str">
        <f>IF(Bordero!B78="","",Bordero!B78)</f>
        <v/>
      </c>
      <c r="C71" s="31" t="str">
        <f>IF(Bordero!B78="","",IF(Bordero!$E$3="Comissária",Bordero!G73,Bordero!G78))</f>
        <v/>
      </c>
      <c r="D71" s="47" t="str">
        <f>IF(Bordero!B78="","",Bordero!I78)</f>
        <v/>
      </c>
      <c r="E71" s="31" t="str">
        <f>IF(Bordero!B78="","",Bordero!F78)</f>
        <v/>
      </c>
      <c r="F71" s="31"/>
      <c r="G71" s="31" t="str">
        <f>IF(Bordero!B78="","",Bordero!D78)</f>
        <v/>
      </c>
      <c r="H71" s="31"/>
      <c r="I71" s="110" t="str">
        <f>IF(Bordero!B78="","",5%)</f>
        <v/>
      </c>
      <c r="J71" s="110" t="str">
        <f>IF(Bordero!B78="","",2%)</f>
        <v/>
      </c>
      <c r="K71" s="111" t="str">
        <f>IF(Bordero!B78="","",90)</f>
        <v/>
      </c>
      <c r="L71" s="31"/>
      <c r="M71" s="37"/>
      <c r="N71" s="31"/>
      <c r="O71" s="37"/>
      <c r="P71" s="31"/>
      <c r="Q71" s="37"/>
      <c r="R71" s="31"/>
      <c r="S71" s="31"/>
      <c r="T71" s="31" t="str">
        <f>IF(Bordero!B78="","","several")</f>
        <v/>
      </c>
      <c r="U71" s="31" t="str">
        <f>IF(Bordero!B78="","",Bordero!$C$4)</f>
        <v/>
      </c>
      <c r="V71" s="142" t="str">
        <f>IF(Bordero!B78="","",Bordero!$C$3)</f>
        <v/>
      </c>
      <c r="W71" s="31"/>
      <c r="X71" s="31" t="str">
        <f>IF(Bordero!B78="","",Bordero!K78)</f>
        <v/>
      </c>
      <c r="Y71" s="31"/>
      <c r="Z71" s="31"/>
      <c r="AA71" s="31"/>
      <c r="AB71" s="31"/>
      <c r="AC71" s="31"/>
      <c r="AD71" s="31"/>
    </row>
    <row r="72" spans="1:30">
      <c r="A72" s="31" t="str">
        <f>IF(Bordero!B79="","",IF(Bordero!$E$3="Comissária",Bordero!$C$4,Bordero!C79))</f>
        <v/>
      </c>
      <c r="B72" s="31" t="str">
        <f>IF(Bordero!B79="","",Bordero!B79)</f>
        <v/>
      </c>
      <c r="C72" s="31" t="str">
        <f>IF(Bordero!B79="","",IF(Bordero!$E$3="Comissária",Bordero!G74,Bordero!G79))</f>
        <v/>
      </c>
      <c r="D72" s="47" t="str">
        <f>IF(Bordero!B79="","",Bordero!I79)</f>
        <v/>
      </c>
      <c r="E72" s="31" t="str">
        <f>IF(Bordero!B79="","",Bordero!F79)</f>
        <v/>
      </c>
      <c r="F72" s="31"/>
      <c r="G72" s="31" t="str">
        <f>IF(Bordero!B79="","",Bordero!D79)</f>
        <v/>
      </c>
      <c r="H72" s="31"/>
      <c r="I72" s="110" t="str">
        <f>IF(Bordero!B79="","",5%)</f>
        <v/>
      </c>
      <c r="J72" s="110" t="str">
        <f>IF(Bordero!B79="","",2%)</f>
        <v/>
      </c>
      <c r="K72" s="111" t="str">
        <f>IF(Bordero!B79="","",90)</f>
        <v/>
      </c>
      <c r="L72" s="31"/>
      <c r="M72" s="37"/>
      <c r="N72" s="31"/>
      <c r="O72" s="37"/>
      <c r="P72" s="31"/>
      <c r="Q72" s="37"/>
      <c r="R72" s="31"/>
      <c r="S72" s="31"/>
      <c r="T72" s="31" t="str">
        <f>IF(Bordero!B79="","","several")</f>
        <v/>
      </c>
      <c r="U72" s="31" t="str">
        <f>IF(Bordero!B79="","",Bordero!$C$4)</f>
        <v/>
      </c>
      <c r="V72" s="142" t="str">
        <f>IF(Bordero!B79="","",Bordero!$C$3)</f>
        <v/>
      </c>
      <c r="W72" s="31"/>
      <c r="X72" s="31" t="str">
        <f>IF(Bordero!B79="","",Bordero!K79)</f>
        <v/>
      </c>
      <c r="Y72" s="31"/>
      <c r="Z72" s="31"/>
      <c r="AA72" s="31"/>
      <c r="AB72" s="31"/>
      <c r="AC72" s="31"/>
      <c r="AD72" s="31"/>
    </row>
    <row r="73" spans="1:30">
      <c r="A73" s="31" t="str">
        <f>IF(Bordero!B80="","",IF(Bordero!$E$3="Comissária",Bordero!$C$4,Bordero!C80))</f>
        <v/>
      </c>
      <c r="B73" s="31" t="str">
        <f>IF(Bordero!B80="","",Bordero!B80)</f>
        <v/>
      </c>
      <c r="C73" s="31" t="str">
        <f>IF(Bordero!B80="","",IF(Bordero!$E$3="Comissária",Bordero!G75,Bordero!G80))</f>
        <v/>
      </c>
      <c r="D73" s="47" t="str">
        <f>IF(Bordero!B80="","",Bordero!I80)</f>
        <v/>
      </c>
      <c r="E73" s="31" t="str">
        <f>IF(Bordero!B80="","",Bordero!F80)</f>
        <v/>
      </c>
      <c r="F73" s="31"/>
      <c r="G73" s="31" t="str">
        <f>IF(Bordero!B80="","",Bordero!D80)</f>
        <v/>
      </c>
      <c r="H73" s="31"/>
      <c r="I73" s="110" t="str">
        <f>IF(Bordero!B80="","",5%)</f>
        <v/>
      </c>
      <c r="J73" s="110" t="str">
        <f>IF(Bordero!B80="","",2%)</f>
        <v/>
      </c>
      <c r="K73" s="111" t="str">
        <f>IF(Bordero!B80="","",90)</f>
        <v/>
      </c>
      <c r="L73" s="31"/>
      <c r="M73" s="37"/>
      <c r="N73" s="31"/>
      <c r="O73" s="37"/>
      <c r="P73" s="31"/>
      <c r="Q73" s="37"/>
      <c r="R73" s="31"/>
      <c r="S73" s="31"/>
      <c r="T73" s="31" t="str">
        <f>IF(Bordero!B80="","","several")</f>
        <v/>
      </c>
      <c r="U73" s="31" t="str">
        <f>IF(Bordero!B80="","",Bordero!$C$4)</f>
        <v/>
      </c>
      <c r="V73" s="142" t="str">
        <f>IF(Bordero!B80="","",Bordero!$C$3)</f>
        <v/>
      </c>
      <c r="W73" s="31"/>
      <c r="X73" s="31" t="str">
        <f>IF(Bordero!B80="","",Bordero!K80)</f>
        <v/>
      </c>
      <c r="Y73" s="31"/>
      <c r="Z73" s="31"/>
      <c r="AA73" s="31"/>
      <c r="AB73" s="31"/>
      <c r="AC73" s="31"/>
      <c r="AD73" s="31"/>
    </row>
    <row r="74" spans="1:30">
      <c r="A74" s="31" t="str">
        <f>IF(Bordero!B81="","",IF(Bordero!$E$3="Comissária",Bordero!$C$4,Bordero!C81))</f>
        <v/>
      </c>
      <c r="B74" s="31" t="str">
        <f>IF(Bordero!B81="","",Bordero!B81)</f>
        <v/>
      </c>
      <c r="C74" s="31" t="str">
        <f>IF(Bordero!B81="","",IF(Bordero!$E$3="Comissária",Bordero!G76,Bordero!G81))</f>
        <v/>
      </c>
      <c r="D74" s="47" t="str">
        <f>IF(Bordero!B81="","",Bordero!I81)</f>
        <v/>
      </c>
      <c r="E74" s="31" t="str">
        <f>IF(Bordero!B81="","",Bordero!F81)</f>
        <v/>
      </c>
      <c r="F74" s="31"/>
      <c r="G74" s="31" t="str">
        <f>IF(Bordero!B81="","",Bordero!D81)</f>
        <v/>
      </c>
      <c r="H74" s="31"/>
      <c r="I74" s="110" t="str">
        <f>IF(Bordero!B81="","",5%)</f>
        <v/>
      </c>
      <c r="J74" s="110" t="str">
        <f>IF(Bordero!B81="","",2%)</f>
        <v/>
      </c>
      <c r="K74" s="111" t="str">
        <f>IF(Bordero!B81="","",90)</f>
        <v/>
      </c>
      <c r="L74" s="31"/>
      <c r="M74" s="37"/>
      <c r="N74" s="31"/>
      <c r="O74" s="37"/>
      <c r="P74" s="31"/>
      <c r="Q74" s="37"/>
      <c r="R74" s="31"/>
      <c r="S74" s="31"/>
      <c r="T74" s="31" t="str">
        <f>IF(Bordero!B81="","","several")</f>
        <v/>
      </c>
      <c r="U74" s="31" t="str">
        <f>IF(Bordero!B81="","",Bordero!$C$4)</f>
        <v/>
      </c>
      <c r="V74" s="142" t="str">
        <f>IF(Bordero!B81="","",Bordero!$C$3)</f>
        <v/>
      </c>
      <c r="W74" s="31"/>
      <c r="X74" s="31" t="str">
        <f>IF(Bordero!B81="","",Bordero!K81)</f>
        <v/>
      </c>
      <c r="Y74" s="31"/>
      <c r="Z74" s="31"/>
      <c r="AA74" s="31"/>
      <c r="AB74" s="31"/>
      <c r="AC74" s="31"/>
      <c r="AD74" s="31"/>
    </row>
    <row r="75" spans="1:30">
      <c r="A75" s="31" t="str">
        <f>IF(Bordero!B82="","",IF(Bordero!$E$3="Comissária",Bordero!$C$4,Bordero!C82))</f>
        <v/>
      </c>
      <c r="B75" s="31" t="str">
        <f>IF(Bordero!B82="","",Bordero!B82)</f>
        <v/>
      </c>
      <c r="C75" s="31" t="str">
        <f>IF(Bordero!B82="","",IF(Bordero!$E$3="Comissária",Bordero!G77,Bordero!G82))</f>
        <v/>
      </c>
      <c r="D75" s="47" t="str">
        <f>IF(Bordero!B82="","",Bordero!I82)</f>
        <v/>
      </c>
      <c r="E75" s="31" t="str">
        <f>IF(Bordero!B82="","",Bordero!F82)</f>
        <v/>
      </c>
      <c r="F75" s="31"/>
      <c r="G75" s="31" t="str">
        <f>IF(Bordero!B82="","",Bordero!D82)</f>
        <v/>
      </c>
      <c r="H75" s="31"/>
      <c r="I75" s="110" t="str">
        <f>IF(Bordero!B82="","",5%)</f>
        <v/>
      </c>
      <c r="J75" s="110" t="str">
        <f>IF(Bordero!B82="","",2%)</f>
        <v/>
      </c>
      <c r="K75" s="111" t="str">
        <f>IF(Bordero!B82="","",90)</f>
        <v/>
      </c>
      <c r="L75" s="31"/>
      <c r="M75" s="37"/>
      <c r="N75" s="31"/>
      <c r="O75" s="37"/>
      <c r="P75" s="31"/>
      <c r="Q75" s="37"/>
      <c r="R75" s="31"/>
      <c r="S75" s="31"/>
      <c r="T75" s="31" t="str">
        <f>IF(Bordero!B82="","","several")</f>
        <v/>
      </c>
      <c r="U75" s="31" t="str">
        <f>IF(Bordero!B82="","",Bordero!$C$4)</f>
        <v/>
      </c>
      <c r="V75" s="142" t="str">
        <f>IF(Bordero!B82="","",Bordero!$C$3)</f>
        <v/>
      </c>
      <c r="W75" s="31"/>
      <c r="X75" s="31" t="str">
        <f>IF(Bordero!B82="","",Bordero!K82)</f>
        <v/>
      </c>
      <c r="Y75" s="31"/>
      <c r="Z75" s="31"/>
      <c r="AA75" s="31"/>
      <c r="AB75" s="31"/>
      <c r="AC75" s="31"/>
      <c r="AD75" s="31"/>
    </row>
    <row r="76" spans="1:30">
      <c r="A76" s="31" t="str">
        <f>IF(Bordero!B83="","",IF(Bordero!$E$3="Comissária",Bordero!$C$4,Bordero!C83))</f>
        <v/>
      </c>
      <c r="B76" s="31" t="str">
        <f>IF(Bordero!B83="","",Bordero!B83)</f>
        <v/>
      </c>
      <c r="C76" s="31" t="str">
        <f>IF(Bordero!B83="","",IF(Bordero!$E$3="Comissária",Bordero!G78,Bordero!G83))</f>
        <v/>
      </c>
      <c r="D76" s="47" t="str">
        <f>IF(Bordero!B83="","",Bordero!I83)</f>
        <v/>
      </c>
      <c r="E76" s="31" t="str">
        <f>IF(Bordero!B83="","",Bordero!F83)</f>
        <v/>
      </c>
      <c r="F76" s="31"/>
      <c r="G76" s="31" t="str">
        <f>IF(Bordero!B83="","",Bordero!D83)</f>
        <v/>
      </c>
      <c r="H76" s="31"/>
      <c r="I76" s="110" t="str">
        <f>IF(Bordero!B83="","",5%)</f>
        <v/>
      </c>
      <c r="J76" s="110" t="str">
        <f>IF(Bordero!B83="","",2%)</f>
        <v/>
      </c>
      <c r="K76" s="111" t="str">
        <f>IF(Bordero!B83="","",90)</f>
        <v/>
      </c>
      <c r="L76" s="31"/>
      <c r="M76" s="37"/>
      <c r="N76" s="31"/>
      <c r="O76" s="37"/>
      <c r="P76" s="31"/>
      <c r="Q76" s="37"/>
      <c r="R76" s="31"/>
      <c r="S76" s="31"/>
      <c r="T76" s="31" t="str">
        <f>IF(Bordero!B83="","","several")</f>
        <v/>
      </c>
      <c r="U76" s="31" t="str">
        <f>IF(Bordero!B83="","",Bordero!$C$4)</f>
        <v/>
      </c>
      <c r="V76" s="142" t="str">
        <f>IF(Bordero!B83="","",Bordero!$C$3)</f>
        <v/>
      </c>
      <c r="W76" s="31"/>
      <c r="X76" s="31" t="str">
        <f>IF(Bordero!B83="","",Bordero!K83)</f>
        <v/>
      </c>
      <c r="Y76" s="31"/>
      <c r="Z76" s="31"/>
      <c r="AA76" s="31"/>
      <c r="AB76" s="31"/>
      <c r="AC76" s="31"/>
      <c r="AD76" s="31"/>
    </row>
    <row r="77" spans="1:30">
      <c r="A77" s="31" t="str">
        <f>IF(Bordero!B84="","",IF(Bordero!$E$3="Comissária",Bordero!$C$4,Bordero!C84))</f>
        <v/>
      </c>
      <c r="B77" s="31" t="str">
        <f>IF(Bordero!B84="","",Bordero!B84)</f>
        <v/>
      </c>
      <c r="C77" s="31" t="str">
        <f>IF(Bordero!B84="","",IF(Bordero!$E$3="Comissária",Bordero!G79,Bordero!G84))</f>
        <v/>
      </c>
      <c r="D77" s="47" t="str">
        <f>IF(Bordero!B84="","",Bordero!I84)</f>
        <v/>
      </c>
      <c r="E77" s="31" t="str">
        <f>IF(Bordero!B84="","",Bordero!F84)</f>
        <v/>
      </c>
      <c r="F77" s="31"/>
      <c r="G77" s="31" t="str">
        <f>IF(Bordero!B84="","",Bordero!D84)</f>
        <v/>
      </c>
      <c r="H77" s="31"/>
      <c r="I77" s="110" t="str">
        <f>IF(Bordero!B84="","",5%)</f>
        <v/>
      </c>
      <c r="J77" s="110" t="str">
        <f>IF(Bordero!B84="","",2%)</f>
        <v/>
      </c>
      <c r="K77" s="111" t="str">
        <f>IF(Bordero!B84="","",90)</f>
        <v/>
      </c>
      <c r="L77" s="31"/>
      <c r="M77" s="37"/>
      <c r="N77" s="31"/>
      <c r="O77" s="37"/>
      <c r="P77" s="31"/>
      <c r="Q77" s="37"/>
      <c r="R77" s="31"/>
      <c r="S77" s="31"/>
      <c r="T77" s="31" t="str">
        <f>IF(Bordero!B84="","","several")</f>
        <v/>
      </c>
      <c r="U77" s="31" t="str">
        <f>IF(Bordero!B84="","",Bordero!$C$4)</f>
        <v/>
      </c>
      <c r="V77" s="142" t="str">
        <f>IF(Bordero!B84="","",Bordero!$C$3)</f>
        <v/>
      </c>
      <c r="W77" s="31"/>
      <c r="X77" s="31" t="str">
        <f>IF(Bordero!B84="","",Bordero!K84)</f>
        <v/>
      </c>
      <c r="Y77" s="31"/>
      <c r="Z77" s="31"/>
      <c r="AA77" s="31"/>
      <c r="AB77" s="31"/>
      <c r="AC77" s="31"/>
      <c r="AD77" s="31"/>
    </row>
    <row r="78" spans="1:30">
      <c r="A78" s="31" t="str">
        <f>IF(Bordero!B85="","",IF(Bordero!$E$3="Comissária",Bordero!$C$4,Bordero!C85))</f>
        <v/>
      </c>
      <c r="B78" s="31" t="str">
        <f>IF(Bordero!B85="","",Bordero!B85)</f>
        <v/>
      </c>
      <c r="C78" s="31" t="str">
        <f>IF(Bordero!B85="","",IF(Bordero!$E$3="Comissária",Bordero!G80,Bordero!G85))</f>
        <v/>
      </c>
      <c r="D78" s="47" t="str">
        <f>IF(Bordero!B85="","",Bordero!I85)</f>
        <v/>
      </c>
      <c r="E78" s="31" t="str">
        <f>IF(Bordero!B85="","",Bordero!F85)</f>
        <v/>
      </c>
      <c r="F78" s="31"/>
      <c r="G78" s="31" t="str">
        <f>IF(Bordero!B85="","",Bordero!D85)</f>
        <v/>
      </c>
      <c r="H78" s="31"/>
      <c r="I78" s="110" t="str">
        <f>IF(Bordero!B85="","",5%)</f>
        <v/>
      </c>
      <c r="J78" s="110" t="str">
        <f>IF(Bordero!B85="","",2%)</f>
        <v/>
      </c>
      <c r="K78" s="111" t="str">
        <f>IF(Bordero!B85="","",90)</f>
        <v/>
      </c>
      <c r="L78" s="31"/>
      <c r="M78" s="37"/>
      <c r="N78" s="31"/>
      <c r="O78" s="37"/>
      <c r="P78" s="31"/>
      <c r="Q78" s="37"/>
      <c r="R78" s="31"/>
      <c r="S78" s="31"/>
      <c r="T78" s="31" t="str">
        <f>IF(Bordero!B85="","","several")</f>
        <v/>
      </c>
      <c r="U78" s="31" t="str">
        <f>IF(Bordero!B85="","",Bordero!$C$4)</f>
        <v/>
      </c>
      <c r="V78" s="142" t="str">
        <f>IF(Bordero!B85="","",Bordero!$C$3)</f>
        <v/>
      </c>
      <c r="W78" s="31"/>
      <c r="X78" s="31" t="str">
        <f>IF(Bordero!B85="","",Bordero!K85)</f>
        <v/>
      </c>
      <c r="Y78" s="31"/>
      <c r="Z78" s="31"/>
      <c r="AA78" s="31"/>
      <c r="AB78" s="31"/>
      <c r="AC78" s="31"/>
      <c r="AD78" s="31"/>
    </row>
    <row r="79" spans="1:30">
      <c r="A79" s="31" t="str">
        <f>IF(Bordero!B86="","",IF(Bordero!$E$3="Comissária",Bordero!$C$4,Bordero!C86))</f>
        <v/>
      </c>
      <c r="B79" s="31" t="str">
        <f>IF(Bordero!B86="","",Bordero!B86)</f>
        <v/>
      </c>
      <c r="C79" s="31" t="str">
        <f>IF(Bordero!B86="","",IF(Bordero!$E$3="Comissária",Bordero!G81,Bordero!G86))</f>
        <v/>
      </c>
      <c r="D79" s="47" t="str">
        <f>IF(Bordero!B86="","",Bordero!I86)</f>
        <v/>
      </c>
      <c r="E79" s="31" t="str">
        <f>IF(Bordero!B86="","",Bordero!F86)</f>
        <v/>
      </c>
      <c r="F79" s="31"/>
      <c r="G79" s="31" t="str">
        <f>IF(Bordero!B86="","",Bordero!D86)</f>
        <v/>
      </c>
      <c r="H79" s="31"/>
      <c r="I79" s="110" t="str">
        <f>IF(Bordero!B86="","",5%)</f>
        <v/>
      </c>
      <c r="J79" s="110" t="str">
        <f>IF(Bordero!B86="","",2%)</f>
        <v/>
      </c>
      <c r="K79" s="111" t="str">
        <f>IF(Bordero!B86="","",90)</f>
        <v/>
      </c>
      <c r="L79" s="31"/>
      <c r="M79" s="37"/>
      <c r="N79" s="31"/>
      <c r="O79" s="37"/>
      <c r="P79" s="31"/>
      <c r="Q79" s="37"/>
      <c r="R79" s="31"/>
      <c r="S79" s="31"/>
      <c r="T79" s="31" t="str">
        <f>IF(Bordero!B86="","","several")</f>
        <v/>
      </c>
      <c r="U79" s="31" t="str">
        <f>IF(Bordero!B86="","",Bordero!$C$4)</f>
        <v/>
      </c>
      <c r="V79" s="142" t="str">
        <f>IF(Bordero!B86="","",Bordero!$C$3)</f>
        <v/>
      </c>
      <c r="W79" s="31"/>
      <c r="X79" s="31" t="str">
        <f>IF(Bordero!B86="","",Bordero!K86)</f>
        <v/>
      </c>
      <c r="Y79" s="31"/>
      <c r="Z79" s="31"/>
      <c r="AA79" s="31"/>
      <c r="AB79" s="31"/>
      <c r="AC79" s="31"/>
      <c r="AD79" s="31"/>
    </row>
    <row r="80" spans="1:30">
      <c r="A80" s="31" t="str">
        <f>IF(Bordero!B87="","",IF(Bordero!$E$3="Comissária",Bordero!$C$4,Bordero!C87))</f>
        <v/>
      </c>
      <c r="B80" s="31" t="str">
        <f>IF(Bordero!B87="","",Bordero!B87)</f>
        <v/>
      </c>
      <c r="C80" s="31" t="str">
        <f>IF(Bordero!B87="","",IF(Bordero!$E$3="Comissária",Bordero!G82,Bordero!G87))</f>
        <v/>
      </c>
      <c r="D80" s="47" t="str">
        <f>IF(Bordero!B87="","",Bordero!I87)</f>
        <v/>
      </c>
      <c r="E80" s="31" t="str">
        <f>IF(Bordero!B87="","",Bordero!F87)</f>
        <v/>
      </c>
      <c r="F80" s="31"/>
      <c r="G80" s="31" t="str">
        <f>IF(Bordero!B87="","",Bordero!D87)</f>
        <v/>
      </c>
      <c r="H80" s="31"/>
      <c r="I80" s="110" t="str">
        <f>IF(Bordero!B87="","",5%)</f>
        <v/>
      </c>
      <c r="J80" s="110" t="str">
        <f>IF(Bordero!B87="","",2%)</f>
        <v/>
      </c>
      <c r="K80" s="111" t="str">
        <f>IF(Bordero!B87="","",90)</f>
        <v/>
      </c>
      <c r="L80" s="31"/>
      <c r="M80" s="37"/>
      <c r="N80" s="31"/>
      <c r="O80" s="37"/>
      <c r="P80" s="31"/>
      <c r="Q80" s="37"/>
      <c r="R80" s="31"/>
      <c r="S80" s="31"/>
      <c r="T80" s="31" t="str">
        <f>IF(Bordero!B87="","","several")</f>
        <v/>
      </c>
      <c r="U80" s="31" t="str">
        <f>IF(Bordero!B87="","",Bordero!$C$4)</f>
        <v/>
      </c>
      <c r="V80" s="142" t="str">
        <f>IF(Bordero!B87="","",Bordero!$C$3)</f>
        <v/>
      </c>
      <c r="W80" s="31"/>
      <c r="X80" s="31" t="str">
        <f>IF(Bordero!B87="","",Bordero!K87)</f>
        <v/>
      </c>
      <c r="Y80" s="31"/>
      <c r="Z80" s="31"/>
      <c r="AA80" s="31"/>
      <c r="AB80" s="31"/>
      <c r="AC80" s="31"/>
      <c r="AD80" s="31"/>
    </row>
    <row r="81" spans="1:30">
      <c r="A81" s="31" t="str">
        <f>IF(Bordero!B88="","",IF(Bordero!$E$3="Comissária",Bordero!$C$4,Bordero!C88))</f>
        <v/>
      </c>
      <c r="B81" s="31" t="str">
        <f>IF(Bordero!B88="","",Bordero!B88)</f>
        <v/>
      </c>
      <c r="C81" s="31" t="str">
        <f>IF(Bordero!B88="","",IF(Bordero!$E$3="Comissária",Bordero!G83,Bordero!G88))</f>
        <v/>
      </c>
      <c r="D81" s="47" t="str">
        <f>IF(Bordero!B88="","",Bordero!I88)</f>
        <v/>
      </c>
      <c r="E81" s="31" t="str">
        <f>IF(Bordero!B88="","",Bordero!F88)</f>
        <v/>
      </c>
      <c r="F81" s="31"/>
      <c r="G81" s="31" t="str">
        <f>IF(Bordero!B88="","",Bordero!D88)</f>
        <v/>
      </c>
      <c r="H81" s="31"/>
      <c r="I81" s="110" t="str">
        <f>IF(Bordero!B88="","",5%)</f>
        <v/>
      </c>
      <c r="J81" s="110" t="str">
        <f>IF(Bordero!B88="","",2%)</f>
        <v/>
      </c>
      <c r="K81" s="111" t="str">
        <f>IF(Bordero!B88="","",90)</f>
        <v/>
      </c>
      <c r="L81" s="31"/>
      <c r="M81" s="37"/>
      <c r="N81" s="31"/>
      <c r="O81" s="37"/>
      <c r="P81" s="31"/>
      <c r="Q81" s="37"/>
      <c r="R81" s="31"/>
      <c r="S81" s="31"/>
      <c r="T81" s="31" t="str">
        <f>IF(Bordero!B88="","","several")</f>
        <v/>
      </c>
      <c r="U81" s="31" t="str">
        <f>IF(Bordero!B88="","",Bordero!$C$4)</f>
        <v/>
      </c>
      <c r="V81" s="142" t="str">
        <f>IF(Bordero!B88="","",Bordero!$C$3)</f>
        <v/>
      </c>
      <c r="W81" s="31"/>
      <c r="X81" s="31" t="str">
        <f>IF(Bordero!B88="","",Bordero!K88)</f>
        <v/>
      </c>
      <c r="Y81" s="31"/>
      <c r="Z81" s="31"/>
      <c r="AA81" s="31"/>
      <c r="AB81" s="31"/>
      <c r="AC81" s="31"/>
      <c r="AD81" s="31"/>
    </row>
    <row r="82" spans="1:30">
      <c r="A82" s="31" t="str">
        <f>IF(Bordero!B89="","",IF(Bordero!$E$3="Comissária",Bordero!$C$4,Bordero!C89))</f>
        <v/>
      </c>
      <c r="B82" s="31" t="str">
        <f>IF(Bordero!B89="","",Bordero!B89)</f>
        <v/>
      </c>
      <c r="C82" s="31" t="str">
        <f>IF(Bordero!B89="","",IF(Bordero!$E$3="Comissária",Bordero!G84,Bordero!G89))</f>
        <v/>
      </c>
      <c r="D82" s="47" t="str">
        <f>IF(Bordero!B89="","",Bordero!I89)</f>
        <v/>
      </c>
      <c r="E82" s="31" t="str">
        <f>IF(Bordero!B89="","",Bordero!F89)</f>
        <v/>
      </c>
      <c r="F82" s="31"/>
      <c r="G82" s="31" t="str">
        <f>IF(Bordero!B89="","",Bordero!D89)</f>
        <v/>
      </c>
      <c r="H82" s="31"/>
      <c r="I82" s="110" t="str">
        <f>IF(Bordero!B89="","",5%)</f>
        <v/>
      </c>
      <c r="J82" s="110" t="str">
        <f>IF(Bordero!B89="","",2%)</f>
        <v/>
      </c>
      <c r="K82" s="111" t="str">
        <f>IF(Bordero!B89="","",90)</f>
        <v/>
      </c>
      <c r="L82" s="31"/>
      <c r="M82" s="37"/>
      <c r="N82" s="31"/>
      <c r="O82" s="37"/>
      <c r="P82" s="31"/>
      <c r="Q82" s="37"/>
      <c r="R82" s="31"/>
      <c r="S82" s="31"/>
      <c r="T82" s="31" t="str">
        <f>IF(Bordero!B89="","","several")</f>
        <v/>
      </c>
      <c r="U82" s="31" t="str">
        <f>IF(Bordero!B89="","",Bordero!$C$4)</f>
        <v/>
      </c>
      <c r="V82" s="142" t="str">
        <f>IF(Bordero!B89="","",Bordero!$C$3)</f>
        <v/>
      </c>
      <c r="W82" s="31"/>
      <c r="X82" s="31" t="str">
        <f>IF(Bordero!B89="","",Bordero!K89)</f>
        <v/>
      </c>
      <c r="Y82" s="31"/>
      <c r="Z82" s="31"/>
      <c r="AA82" s="31"/>
      <c r="AB82" s="31"/>
      <c r="AC82" s="31"/>
      <c r="AD82" s="31"/>
    </row>
    <row r="83" spans="1:30">
      <c r="A83" s="31" t="str">
        <f>IF(Bordero!B90="","",IF(Bordero!$E$3="Comissária",Bordero!$C$4,Bordero!C90))</f>
        <v/>
      </c>
      <c r="B83" s="31" t="str">
        <f>IF(Bordero!B90="","",Bordero!B90)</f>
        <v/>
      </c>
      <c r="C83" s="31" t="str">
        <f>IF(Bordero!B90="","",IF(Bordero!$E$3="Comissária",Bordero!G85,Bordero!G90))</f>
        <v/>
      </c>
      <c r="D83" s="47" t="str">
        <f>IF(Bordero!B90="","",Bordero!I90)</f>
        <v/>
      </c>
      <c r="E83" s="31" t="str">
        <f>IF(Bordero!B90="","",Bordero!F90)</f>
        <v/>
      </c>
      <c r="F83" s="31"/>
      <c r="G83" s="31" t="str">
        <f>IF(Bordero!B90="","",Bordero!D90)</f>
        <v/>
      </c>
      <c r="H83" s="31"/>
      <c r="I83" s="110" t="str">
        <f>IF(Bordero!B90="","",5%)</f>
        <v/>
      </c>
      <c r="J83" s="110" t="str">
        <f>IF(Bordero!B90="","",2%)</f>
        <v/>
      </c>
      <c r="K83" s="111" t="str">
        <f>IF(Bordero!B90="","",90)</f>
        <v/>
      </c>
      <c r="L83" s="31"/>
      <c r="M83" s="37"/>
      <c r="N83" s="31"/>
      <c r="O83" s="37"/>
      <c r="P83" s="31"/>
      <c r="Q83" s="37"/>
      <c r="R83" s="31"/>
      <c r="S83" s="31"/>
      <c r="T83" s="31" t="str">
        <f>IF(Bordero!B90="","","several")</f>
        <v/>
      </c>
      <c r="U83" s="31" t="str">
        <f>IF(Bordero!B90="","",Bordero!$C$4)</f>
        <v/>
      </c>
      <c r="V83" s="142" t="str">
        <f>IF(Bordero!B90="","",Bordero!$C$3)</f>
        <v/>
      </c>
      <c r="W83" s="31"/>
      <c r="X83" s="31" t="str">
        <f>IF(Bordero!B90="","",Bordero!K90)</f>
        <v/>
      </c>
      <c r="Y83" s="31"/>
      <c r="Z83" s="31"/>
      <c r="AA83" s="31"/>
      <c r="AB83" s="31"/>
      <c r="AC83" s="31"/>
      <c r="AD83" s="31"/>
    </row>
    <row r="84" spans="1:30">
      <c r="A84" s="31" t="str">
        <f>IF(Bordero!B91="","",IF(Bordero!$E$3="Comissária",Bordero!$C$4,Bordero!C91))</f>
        <v/>
      </c>
      <c r="B84" s="31" t="str">
        <f>IF(Bordero!B91="","",Bordero!B91)</f>
        <v/>
      </c>
      <c r="C84" s="31" t="str">
        <f>IF(Bordero!B91="","",IF(Bordero!$E$3="Comissária",Bordero!G86,Bordero!G91))</f>
        <v/>
      </c>
      <c r="D84" s="47" t="str">
        <f>IF(Bordero!B91="","",Bordero!I91)</f>
        <v/>
      </c>
      <c r="E84" s="31" t="str">
        <f>IF(Bordero!B91="","",Bordero!F91)</f>
        <v/>
      </c>
      <c r="F84" s="31"/>
      <c r="G84" s="31" t="str">
        <f>IF(Bordero!B91="","",Bordero!D91)</f>
        <v/>
      </c>
      <c r="H84" s="31"/>
      <c r="I84" s="110" t="str">
        <f>IF(Bordero!B91="","",5%)</f>
        <v/>
      </c>
      <c r="J84" s="110" t="str">
        <f>IF(Bordero!B91="","",2%)</f>
        <v/>
      </c>
      <c r="K84" s="111" t="str">
        <f>IF(Bordero!B91="","",90)</f>
        <v/>
      </c>
      <c r="L84" s="31"/>
      <c r="M84" s="37"/>
      <c r="N84" s="31"/>
      <c r="O84" s="37"/>
      <c r="P84" s="31"/>
      <c r="Q84" s="37"/>
      <c r="R84" s="31"/>
      <c r="S84" s="31"/>
      <c r="T84" s="31" t="str">
        <f>IF(Bordero!B91="","","several")</f>
        <v/>
      </c>
      <c r="U84" s="31" t="str">
        <f>IF(Bordero!B91="","",Bordero!$C$4)</f>
        <v/>
      </c>
      <c r="V84" s="142" t="str">
        <f>IF(Bordero!B91="","",Bordero!$C$3)</f>
        <v/>
      </c>
      <c r="W84" s="31"/>
      <c r="X84" s="31" t="str">
        <f>IF(Bordero!B91="","",Bordero!K91)</f>
        <v/>
      </c>
      <c r="Y84" s="31"/>
      <c r="Z84" s="31"/>
      <c r="AA84" s="31"/>
      <c r="AB84" s="31"/>
      <c r="AC84" s="31"/>
      <c r="AD84" s="31"/>
    </row>
    <row r="85" spans="1:30">
      <c r="A85" s="31" t="str">
        <f>IF(Bordero!B92="","",IF(Bordero!$E$3="Comissária",Bordero!$C$4,Bordero!C92))</f>
        <v/>
      </c>
      <c r="B85" s="31" t="str">
        <f>IF(Bordero!B92="","",Bordero!B92)</f>
        <v/>
      </c>
      <c r="C85" s="31" t="str">
        <f>IF(Bordero!B92="","",IF(Bordero!$E$3="Comissária",Bordero!G87,Bordero!G92))</f>
        <v/>
      </c>
      <c r="D85" s="47" t="str">
        <f>IF(Bordero!B92="","",Bordero!I92)</f>
        <v/>
      </c>
      <c r="E85" s="31" t="str">
        <f>IF(Bordero!B92="","",Bordero!F92)</f>
        <v/>
      </c>
      <c r="F85" s="31"/>
      <c r="G85" s="31" t="str">
        <f>IF(Bordero!B92="","",Bordero!D92)</f>
        <v/>
      </c>
      <c r="H85" s="31"/>
      <c r="I85" s="110" t="str">
        <f>IF(Bordero!B92="","",5%)</f>
        <v/>
      </c>
      <c r="J85" s="110" t="str">
        <f>IF(Bordero!B92="","",2%)</f>
        <v/>
      </c>
      <c r="K85" s="111" t="str">
        <f>IF(Bordero!B92="","",90)</f>
        <v/>
      </c>
      <c r="L85" s="31"/>
      <c r="M85" s="37"/>
      <c r="N85" s="31"/>
      <c r="O85" s="37"/>
      <c r="P85" s="31"/>
      <c r="Q85" s="37"/>
      <c r="R85" s="31"/>
      <c r="S85" s="31"/>
      <c r="T85" s="31" t="str">
        <f>IF(Bordero!B92="","","several")</f>
        <v/>
      </c>
      <c r="U85" s="31" t="str">
        <f>IF(Bordero!B92="","",Bordero!$C$4)</f>
        <v/>
      </c>
      <c r="V85" s="142" t="str">
        <f>IF(Bordero!B92="","",Bordero!$C$3)</f>
        <v/>
      </c>
      <c r="W85" s="31"/>
      <c r="X85" s="31" t="str">
        <f>IF(Bordero!B92="","",Bordero!K92)</f>
        <v/>
      </c>
      <c r="Y85" s="31"/>
      <c r="Z85" s="31"/>
      <c r="AA85" s="31"/>
      <c r="AB85" s="31"/>
      <c r="AC85" s="31"/>
      <c r="AD85" s="31"/>
    </row>
    <row r="86" spans="1:30">
      <c r="A86" s="31" t="str">
        <f>IF(Bordero!B93="","",IF(Bordero!$E$3="Comissária",Bordero!$C$4,Bordero!C93))</f>
        <v/>
      </c>
      <c r="B86" s="31" t="str">
        <f>IF(Bordero!B93="","",Bordero!B93)</f>
        <v/>
      </c>
      <c r="C86" s="31" t="str">
        <f>IF(Bordero!B93="","",IF(Bordero!$E$3="Comissária",Bordero!G88,Bordero!G93))</f>
        <v/>
      </c>
      <c r="D86" s="47" t="str">
        <f>IF(Bordero!B93="","",Bordero!I93)</f>
        <v/>
      </c>
      <c r="E86" s="31" t="str">
        <f>IF(Bordero!B93="","",Bordero!F93)</f>
        <v/>
      </c>
      <c r="F86" s="31"/>
      <c r="G86" s="31" t="str">
        <f>IF(Bordero!B93="","",Bordero!D93)</f>
        <v/>
      </c>
      <c r="H86" s="31"/>
      <c r="I86" s="110" t="str">
        <f>IF(Bordero!B93="","",5%)</f>
        <v/>
      </c>
      <c r="J86" s="110" t="str">
        <f>IF(Bordero!B93="","",2%)</f>
        <v/>
      </c>
      <c r="K86" s="111" t="str">
        <f>IF(Bordero!B93="","",90)</f>
        <v/>
      </c>
      <c r="L86" s="31"/>
      <c r="M86" s="37"/>
      <c r="N86" s="31"/>
      <c r="O86" s="37"/>
      <c r="P86" s="31"/>
      <c r="Q86" s="37"/>
      <c r="R86" s="31"/>
      <c r="S86" s="31"/>
      <c r="T86" s="31" t="str">
        <f>IF(Bordero!B93="","","several")</f>
        <v/>
      </c>
      <c r="U86" s="31" t="str">
        <f>IF(Bordero!B93="","",Bordero!$C$4)</f>
        <v/>
      </c>
      <c r="V86" s="142" t="str">
        <f>IF(Bordero!B93="","",Bordero!$C$3)</f>
        <v/>
      </c>
      <c r="W86" s="31"/>
      <c r="X86" s="31" t="str">
        <f>IF(Bordero!B93="","",Bordero!K93)</f>
        <v/>
      </c>
      <c r="Y86" s="31"/>
      <c r="Z86" s="31"/>
      <c r="AA86" s="31"/>
      <c r="AB86" s="31"/>
      <c r="AC86" s="31"/>
      <c r="AD86" s="31"/>
    </row>
    <row r="87" spans="1:30">
      <c r="A87" s="31" t="str">
        <f>IF(Bordero!B94="","",IF(Bordero!$E$3="Comissária",Bordero!$C$4,Bordero!C94))</f>
        <v/>
      </c>
      <c r="B87" s="31" t="str">
        <f>IF(Bordero!B94="","",Bordero!B94)</f>
        <v/>
      </c>
      <c r="C87" s="31" t="str">
        <f>IF(Bordero!B94="","",IF(Bordero!$E$3="Comissária",Bordero!G89,Bordero!G94))</f>
        <v/>
      </c>
      <c r="D87" s="47" t="str">
        <f>IF(Bordero!B94="","",Bordero!I94)</f>
        <v/>
      </c>
      <c r="E87" s="31" t="str">
        <f>IF(Bordero!B94="","",Bordero!F94)</f>
        <v/>
      </c>
      <c r="F87" s="31"/>
      <c r="G87" s="31" t="str">
        <f>IF(Bordero!B94="","",Bordero!D94)</f>
        <v/>
      </c>
      <c r="H87" s="31"/>
      <c r="I87" s="110" t="str">
        <f>IF(Bordero!B94="","",5%)</f>
        <v/>
      </c>
      <c r="J87" s="110" t="str">
        <f>IF(Bordero!B94="","",2%)</f>
        <v/>
      </c>
      <c r="K87" s="111" t="str">
        <f>IF(Bordero!B94="","",90)</f>
        <v/>
      </c>
      <c r="L87" s="31"/>
      <c r="M87" s="37"/>
      <c r="N87" s="31"/>
      <c r="O87" s="37"/>
      <c r="P87" s="31"/>
      <c r="Q87" s="37"/>
      <c r="R87" s="31"/>
      <c r="S87" s="31"/>
      <c r="T87" s="31" t="str">
        <f>IF(Bordero!B94="","","several")</f>
        <v/>
      </c>
      <c r="U87" s="31" t="str">
        <f>IF(Bordero!B94="","",Bordero!$C$4)</f>
        <v/>
      </c>
      <c r="V87" s="142" t="str">
        <f>IF(Bordero!B94="","",Bordero!$C$3)</f>
        <v/>
      </c>
      <c r="W87" s="31"/>
      <c r="X87" s="31" t="str">
        <f>IF(Bordero!B94="","",Bordero!K94)</f>
        <v/>
      </c>
      <c r="Y87" s="31"/>
      <c r="Z87" s="31"/>
      <c r="AA87" s="31"/>
      <c r="AB87" s="31"/>
      <c r="AC87" s="31"/>
      <c r="AD87" s="31"/>
    </row>
    <row r="88" spans="1:30">
      <c r="A88" s="31" t="str">
        <f>IF(Bordero!B95="","",IF(Bordero!$E$3="Comissária",Bordero!$C$4,Bordero!C95))</f>
        <v/>
      </c>
      <c r="B88" s="31" t="str">
        <f>IF(Bordero!B95="","",Bordero!B95)</f>
        <v/>
      </c>
      <c r="C88" s="31" t="str">
        <f>IF(Bordero!B95="","",IF(Bordero!$E$3="Comissária",Bordero!G90,Bordero!G95))</f>
        <v/>
      </c>
      <c r="D88" s="47" t="str">
        <f>IF(Bordero!B95="","",Bordero!I95)</f>
        <v/>
      </c>
      <c r="E88" s="31" t="str">
        <f>IF(Bordero!B95="","",Bordero!F95)</f>
        <v/>
      </c>
      <c r="F88" s="31"/>
      <c r="G88" s="31" t="str">
        <f>IF(Bordero!B95="","",Bordero!D95)</f>
        <v/>
      </c>
      <c r="H88" s="31"/>
      <c r="I88" s="110" t="str">
        <f>IF(Bordero!B95="","",5%)</f>
        <v/>
      </c>
      <c r="J88" s="110" t="str">
        <f>IF(Bordero!B95="","",2%)</f>
        <v/>
      </c>
      <c r="K88" s="111" t="str">
        <f>IF(Bordero!B95="","",90)</f>
        <v/>
      </c>
      <c r="L88" s="31"/>
      <c r="M88" s="37"/>
      <c r="N88" s="31"/>
      <c r="O88" s="37"/>
      <c r="P88" s="31"/>
      <c r="Q88" s="37"/>
      <c r="R88" s="31"/>
      <c r="S88" s="31"/>
      <c r="T88" s="31" t="str">
        <f>IF(Bordero!B95="","","several")</f>
        <v/>
      </c>
      <c r="U88" s="31" t="str">
        <f>IF(Bordero!B95="","",Bordero!$C$4)</f>
        <v/>
      </c>
      <c r="V88" s="142" t="str">
        <f>IF(Bordero!B95="","",Bordero!$C$3)</f>
        <v/>
      </c>
      <c r="W88" s="31"/>
      <c r="X88" s="31" t="str">
        <f>IF(Bordero!B95="","",Bordero!K95)</f>
        <v/>
      </c>
      <c r="Y88" s="31"/>
      <c r="Z88" s="31"/>
      <c r="AA88" s="31"/>
      <c r="AB88" s="31"/>
      <c r="AC88" s="31"/>
      <c r="AD88" s="31"/>
    </row>
    <row r="89" spans="1:30">
      <c r="A89" s="31" t="str">
        <f>IF(Bordero!B96="","",IF(Bordero!$E$3="Comissária",Bordero!$C$4,Bordero!C96))</f>
        <v/>
      </c>
      <c r="B89" s="31" t="str">
        <f>IF(Bordero!B96="","",Bordero!B96)</f>
        <v/>
      </c>
      <c r="C89" s="31" t="str">
        <f>IF(Bordero!B96="","",IF(Bordero!$E$3="Comissária",Bordero!G91,Bordero!G96))</f>
        <v/>
      </c>
      <c r="D89" s="47" t="str">
        <f>IF(Bordero!B96="","",Bordero!I96)</f>
        <v/>
      </c>
      <c r="E89" s="31" t="str">
        <f>IF(Bordero!B96="","",Bordero!F96)</f>
        <v/>
      </c>
      <c r="F89" s="31"/>
      <c r="G89" s="31" t="str">
        <f>IF(Bordero!B96="","",Bordero!D96)</f>
        <v/>
      </c>
      <c r="H89" s="31"/>
      <c r="I89" s="110" t="str">
        <f>IF(Bordero!B96="","",5%)</f>
        <v/>
      </c>
      <c r="J89" s="110" t="str">
        <f>IF(Bordero!B96="","",2%)</f>
        <v/>
      </c>
      <c r="K89" s="111" t="str">
        <f>IF(Bordero!B96="","",90)</f>
        <v/>
      </c>
      <c r="L89" s="31"/>
      <c r="M89" s="37"/>
      <c r="N89" s="31"/>
      <c r="O89" s="37"/>
      <c r="P89" s="31"/>
      <c r="Q89" s="37"/>
      <c r="R89" s="31"/>
      <c r="S89" s="31"/>
      <c r="T89" s="31" t="str">
        <f>IF(Bordero!B96="","","several")</f>
        <v/>
      </c>
      <c r="U89" s="31" t="str">
        <f>IF(Bordero!B96="","",Bordero!$C$4)</f>
        <v/>
      </c>
      <c r="V89" s="142" t="str">
        <f>IF(Bordero!B96="","",Bordero!$C$3)</f>
        <v/>
      </c>
      <c r="W89" s="31"/>
      <c r="X89" s="31" t="str">
        <f>IF(Bordero!B96="","",Bordero!K96)</f>
        <v/>
      </c>
      <c r="Y89" s="31"/>
      <c r="Z89" s="31"/>
      <c r="AA89" s="31"/>
      <c r="AB89" s="31"/>
      <c r="AC89" s="31"/>
      <c r="AD89" s="31"/>
    </row>
    <row r="90" spans="1:30">
      <c r="A90" s="31" t="str">
        <f>IF(Bordero!B97="","",IF(Bordero!$E$3="Comissária",Bordero!$C$4,Bordero!C97))</f>
        <v/>
      </c>
      <c r="B90" s="31" t="str">
        <f>IF(Bordero!B97="","",Bordero!B97)</f>
        <v/>
      </c>
      <c r="C90" s="31" t="str">
        <f>IF(Bordero!B97="","",IF(Bordero!$E$3="Comissária",Bordero!G92,Bordero!G97))</f>
        <v/>
      </c>
      <c r="D90" s="47" t="str">
        <f>IF(Bordero!B97="","",Bordero!I97)</f>
        <v/>
      </c>
      <c r="E90" s="31" t="str">
        <f>IF(Bordero!B97="","",Bordero!F97)</f>
        <v/>
      </c>
      <c r="F90" s="31"/>
      <c r="G90" s="31" t="str">
        <f>IF(Bordero!B97="","",Bordero!D97)</f>
        <v/>
      </c>
      <c r="H90" s="31"/>
      <c r="I90" s="110" t="str">
        <f>IF(Bordero!B97="","",5%)</f>
        <v/>
      </c>
      <c r="J90" s="110" t="str">
        <f>IF(Bordero!B97="","",2%)</f>
        <v/>
      </c>
      <c r="K90" s="111" t="str">
        <f>IF(Bordero!B97="","",90)</f>
        <v/>
      </c>
      <c r="L90" s="31"/>
      <c r="M90" s="37"/>
      <c r="N90" s="31"/>
      <c r="O90" s="37"/>
      <c r="P90" s="31"/>
      <c r="Q90" s="37"/>
      <c r="R90" s="31"/>
      <c r="S90" s="31"/>
      <c r="T90" s="31" t="str">
        <f>IF(Bordero!B97="","","several")</f>
        <v/>
      </c>
      <c r="U90" s="31" t="str">
        <f>IF(Bordero!B97="","",Bordero!$C$4)</f>
        <v/>
      </c>
      <c r="V90" s="142" t="str">
        <f>IF(Bordero!B97="","",Bordero!$C$3)</f>
        <v/>
      </c>
      <c r="W90" s="31"/>
      <c r="X90" s="31" t="str">
        <f>IF(Bordero!B97="","",Bordero!K97)</f>
        <v/>
      </c>
      <c r="Y90" s="31"/>
      <c r="Z90" s="31"/>
      <c r="AA90" s="31"/>
      <c r="AB90" s="31"/>
      <c r="AC90" s="31"/>
      <c r="AD90" s="31"/>
    </row>
    <row r="91" spans="1:30">
      <c r="A91" s="31" t="str">
        <f>IF(Bordero!B98="","",IF(Bordero!$E$3="Comissária",Bordero!$C$4,Bordero!C98))</f>
        <v/>
      </c>
      <c r="B91" s="31" t="str">
        <f>IF(Bordero!B98="","",Bordero!B98)</f>
        <v/>
      </c>
      <c r="C91" s="31" t="str">
        <f>IF(Bordero!B98="","",IF(Bordero!$E$3="Comissária",Bordero!G93,Bordero!G98))</f>
        <v/>
      </c>
      <c r="D91" s="47" t="str">
        <f>IF(Bordero!B98="","",Bordero!I98)</f>
        <v/>
      </c>
      <c r="E91" s="31" t="str">
        <f>IF(Bordero!B98="","",Bordero!F98)</f>
        <v/>
      </c>
      <c r="F91" s="31"/>
      <c r="G91" s="31" t="str">
        <f>IF(Bordero!B98="","",Bordero!D98)</f>
        <v/>
      </c>
      <c r="H91" s="31"/>
      <c r="I91" s="110" t="str">
        <f>IF(Bordero!B98="","",5%)</f>
        <v/>
      </c>
      <c r="J91" s="110" t="str">
        <f>IF(Bordero!B98="","",2%)</f>
        <v/>
      </c>
      <c r="K91" s="111" t="str">
        <f>IF(Bordero!B98="","",90)</f>
        <v/>
      </c>
      <c r="L91" s="31"/>
      <c r="M91" s="37"/>
      <c r="N91" s="31"/>
      <c r="O91" s="37"/>
      <c r="P91" s="31"/>
      <c r="Q91" s="37"/>
      <c r="R91" s="31"/>
      <c r="S91" s="31"/>
      <c r="T91" s="31" t="str">
        <f>IF(Bordero!B98="","","several")</f>
        <v/>
      </c>
      <c r="U91" s="31" t="str">
        <f>IF(Bordero!B98="","",Bordero!$C$4)</f>
        <v/>
      </c>
      <c r="V91" s="142" t="str">
        <f>IF(Bordero!B98="","",Bordero!$C$3)</f>
        <v/>
      </c>
      <c r="W91" s="31"/>
      <c r="X91" s="31" t="str">
        <f>IF(Bordero!B98="","",Bordero!K98)</f>
        <v/>
      </c>
      <c r="Y91" s="31"/>
      <c r="Z91" s="31"/>
      <c r="AA91" s="31"/>
      <c r="AB91" s="31"/>
      <c r="AC91" s="31"/>
      <c r="AD91" s="31"/>
    </row>
    <row r="92" spans="1:30">
      <c r="A92" s="31" t="str">
        <f>IF(Bordero!B99="","",IF(Bordero!$E$3="Comissária",Bordero!$C$4,Bordero!C99))</f>
        <v/>
      </c>
      <c r="B92" s="31" t="str">
        <f>IF(Bordero!B99="","",Bordero!B99)</f>
        <v/>
      </c>
      <c r="C92" s="31" t="str">
        <f>IF(Bordero!B99="","",IF(Bordero!$E$3="Comissária",Bordero!G94,Bordero!G99))</f>
        <v/>
      </c>
      <c r="D92" s="47" t="str">
        <f>IF(Bordero!B99="","",Bordero!I99)</f>
        <v/>
      </c>
      <c r="E92" s="31" t="str">
        <f>IF(Bordero!B99="","",Bordero!F99)</f>
        <v/>
      </c>
      <c r="F92" s="31"/>
      <c r="G92" s="31" t="str">
        <f>IF(Bordero!B99="","",Bordero!D99)</f>
        <v/>
      </c>
      <c r="H92" s="31"/>
      <c r="I92" s="110" t="str">
        <f>IF(Bordero!B99="","",5%)</f>
        <v/>
      </c>
      <c r="J92" s="110" t="str">
        <f>IF(Bordero!B99="","",2%)</f>
        <v/>
      </c>
      <c r="K92" s="111" t="str">
        <f>IF(Bordero!B99="","",90)</f>
        <v/>
      </c>
      <c r="L92" s="31"/>
      <c r="M92" s="37"/>
      <c r="N92" s="31"/>
      <c r="O92" s="37"/>
      <c r="P92" s="31"/>
      <c r="Q92" s="37"/>
      <c r="R92" s="31"/>
      <c r="S92" s="31"/>
      <c r="T92" s="31" t="str">
        <f>IF(Bordero!B99="","","several")</f>
        <v/>
      </c>
      <c r="U92" s="31" t="str">
        <f>IF(Bordero!B99="","",Bordero!$C$4)</f>
        <v/>
      </c>
      <c r="V92" s="142" t="str">
        <f>IF(Bordero!B99="","",Bordero!$C$3)</f>
        <v/>
      </c>
      <c r="W92" s="31"/>
      <c r="X92" s="31" t="str">
        <f>IF(Bordero!B99="","",Bordero!K99)</f>
        <v/>
      </c>
      <c r="Y92" s="31"/>
      <c r="Z92" s="31"/>
      <c r="AA92" s="31"/>
      <c r="AB92" s="31"/>
      <c r="AC92" s="31"/>
      <c r="AD92" s="31"/>
    </row>
    <row r="93" spans="1:30">
      <c r="A93" s="31" t="str">
        <f>IF(Bordero!B100="","",IF(Bordero!$E$3="Comissária",Bordero!$C$4,Bordero!C100))</f>
        <v/>
      </c>
      <c r="B93" s="31" t="str">
        <f>IF(Bordero!B100="","",Bordero!B100)</f>
        <v/>
      </c>
      <c r="C93" s="31" t="str">
        <f>IF(Bordero!B100="","",IF(Bordero!$E$3="Comissária",Bordero!G95,Bordero!G100))</f>
        <v/>
      </c>
      <c r="D93" s="47" t="str">
        <f>IF(Bordero!B100="","",Bordero!I100)</f>
        <v/>
      </c>
      <c r="E93" s="31" t="str">
        <f>IF(Bordero!B100="","",Bordero!F100)</f>
        <v/>
      </c>
      <c r="F93" s="31"/>
      <c r="G93" s="31" t="str">
        <f>IF(Bordero!B100="","",Bordero!D100)</f>
        <v/>
      </c>
      <c r="H93" s="31"/>
      <c r="I93" s="110" t="str">
        <f>IF(Bordero!B100="","",5%)</f>
        <v/>
      </c>
      <c r="J93" s="110" t="str">
        <f>IF(Bordero!B100="","",2%)</f>
        <v/>
      </c>
      <c r="K93" s="111" t="str">
        <f>IF(Bordero!B100="","",90)</f>
        <v/>
      </c>
      <c r="L93" s="31"/>
      <c r="M93" s="37"/>
      <c r="N93" s="31"/>
      <c r="O93" s="37"/>
      <c r="P93" s="31"/>
      <c r="Q93" s="37"/>
      <c r="R93" s="31"/>
      <c r="S93" s="31"/>
      <c r="T93" s="31" t="str">
        <f>IF(Bordero!B100="","","several")</f>
        <v/>
      </c>
      <c r="U93" s="31" t="str">
        <f>IF(Bordero!B100="","",Bordero!$C$4)</f>
        <v/>
      </c>
      <c r="V93" s="142" t="str">
        <f>IF(Bordero!B100="","",Bordero!$C$3)</f>
        <v/>
      </c>
      <c r="W93" s="31"/>
      <c r="X93" s="31" t="str">
        <f>IF(Bordero!B100="","",Bordero!K100)</f>
        <v/>
      </c>
      <c r="Y93" s="31"/>
      <c r="Z93" s="31"/>
      <c r="AA93" s="31"/>
      <c r="AB93" s="31"/>
      <c r="AC93" s="31"/>
      <c r="AD93" s="31"/>
    </row>
    <row r="94" spans="1:30">
      <c r="A94" s="31" t="str">
        <f>IF(Bordero!B101="","",IF(Bordero!$E$3="Comissária",Bordero!$C$4,Bordero!C101))</f>
        <v/>
      </c>
      <c r="B94" s="31" t="str">
        <f>IF(Bordero!B101="","",Bordero!B101)</f>
        <v/>
      </c>
      <c r="C94" s="31" t="str">
        <f>IF(Bordero!B101="","",IF(Bordero!$E$3="Comissária",Bordero!G96,Bordero!G101))</f>
        <v/>
      </c>
      <c r="D94" s="47" t="str">
        <f>IF(Bordero!B101="","",Bordero!I101)</f>
        <v/>
      </c>
      <c r="E94" s="31" t="str">
        <f>IF(Bordero!B101="","",Bordero!F101)</f>
        <v/>
      </c>
      <c r="F94" s="31"/>
      <c r="G94" s="31" t="str">
        <f>IF(Bordero!B101="","",Bordero!D101)</f>
        <v/>
      </c>
      <c r="H94" s="31"/>
      <c r="I94" s="110" t="str">
        <f>IF(Bordero!B101="","",5%)</f>
        <v/>
      </c>
      <c r="J94" s="110" t="str">
        <f>IF(Bordero!B101="","",2%)</f>
        <v/>
      </c>
      <c r="K94" s="111" t="str">
        <f>IF(Bordero!B101="","",90)</f>
        <v/>
      </c>
      <c r="L94" s="31"/>
      <c r="M94" s="37"/>
      <c r="N94" s="31"/>
      <c r="O94" s="37"/>
      <c r="P94" s="31"/>
      <c r="Q94" s="37"/>
      <c r="R94" s="31"/>
      <c r="S94" s="31"/>
      <c r="T94" s="31" t="str">
        <f>IF(Bordero!B101="","","several")</f>
        <v/>
      </c>
      <c r="U94" s="31" t="str">
        <f>IF(Bordero!B101="","",Bordero!$C$4)</f>
        <v/>
      </c>
      <c r="V94" s="142" t="str">
        <f>IF(Bordero!B101="","",Bordero!$C$3)</f>
        <v/>
      </c>
      <c r="W94" s="31"/>
      <c r="X94" s="31" t="str">
        <f>IF(Bordero!B101="","",Bordero!K101)</f>
        <v/>
      </c>
      <c r="Y94" s="31"/>
      <c r="Z94" s="31"/>
      <c r="AA94" s="31"/>
      <c r="AB94" s="31"/>
      <c r="AC94" s="31"/>
      <c r="AD94" s="31"/>
    </row>
    <row r="95" spans="1:30">
      <c r="A95" s="31" t="str">
        <f>IF(Bordero!B102="","",IF(Bordero!$E$3="Comissária",Bordero!$C$4,Bordero!C102))</f>
        <v/>
      </c>
      <c r="B95" s="31" t="str">
        <f>IF(Bordero!B102="","",Bordero!B102)</f>
        <v/>
      </c>
      <c r="C95" s="31" t="str">
        <f>IF(Bordero!B102="","",IF(Bordero!$E$3="Comissária",Bordero!G97,Bordero!G102))</f>
        <v/>
      </c>
      <c r="D95" s="47" t="str">
        <f>IF(Bordero!B102="","",Bordero!I102)</f>
        <v/>
      </c>
      <c r="E95" s="31" t="str">
        <f>IF(Bordero!B102="","",Bordero!F102)</f>
        <v/>
      </c>
      <c r="F95" s="31"/>
      <c r="G95" s="31" t="str">
        <f>IF(Bordero!B102="","",Bordero!D102)</f>
        <v/>
      </c>
      <c r="H95" s="31"/>
      <c r="I95" s="110" t="str">
        <f>IF(Bordero!B102="","",5%)</f>
        <v/>
      </c>
      <c r="J95" s="110" t="str">
        <f>IF(Bordero!B102="","",2%)</f>
        <v/>
      </c>
      <c r="K95" s="111" t="str">
        <f>IF(Bordero!B102="","",90)</f>
        <v/>
      </c>
      <c r="L95" s="31"/>
      <c r="M95" s="37"/>
      <c r="N95" s="31"/>
      <c r="O95" s="37"/>
      <c r="P95" s="31"/>
      <c r="Q95" s="37"/>
      <c r="R95" s="31"/>
      <c r="S95" s="31"/>
      <c r="T95" s="31" t="str">
        <f>IF(Bordero!B102="","","several")</f>
        <v/>
      </c>
      <c r="U95" s="31" t="str">
        <f>IF(Bordero!B102="","",Bordero!$C$4)</f>
        <v/>
      </c>
      <c r="V95" s="142" t="str">
        <f>IF(Bordero!B102="","",Bordero!$C$3)</f>
        <v/>
      </c>
      <c r="W95" s="31"/>
      <c r="X95" s="31" t="str">
        <f>IF(Bordero!B102="","",Bordero!K102)</f>
        <v/>
      </c>
      <c r="Y95" s="31"/>
      <c r="Z95" s="31"/>
      <c r="AA95" s="31"/>
      <c r="AB95" s="31"/>
      <c r="AC95" s="31"/>
      <c r="AD95" s="31"/>
    </row>
    <row r="96" spans="1:30">
      <c r="A96" s="31" t="str">
        <f>IF(Bordero!B103="","",IF(Bordero!$E$3="Comissária",Bordero!$C$4,Bordero!C103))</f>
        <v/>
      </c>
      <c r="B96" s="31" t="str">
        <f>IF(Bordero!B103="","",Bordero!B103)</f>
        <v/>
      </c>
      <c r="C96" s="31" t="str">
        <f>IF(Bordero!B103="","",IF(Bordero!$E$3="Comissária",Bordero!G98,Bordero!G103))</f>
        <v/>
      </c>
      <c r="D96" s="47" t="str">
        <f>IF(Bordero!B103="","",Bordero!I103)</f>
        <v/>
      </c>
      <c r="E96" s="31" t="str">
        <f>IF(Bordero!B103="","",Bordero!F103)</f>
        <v/>
      </c>
      <c r="F96" s="31"/>
      <c r="G96" s="31" t="str">
        <f>IF(Bordero!B103="","",Bordero!D103)</f>
        <v/>
      </c>
      <c r="H96" s="31"/>
      <c r="I96" s="110" t="str">
        <f>IF(Bordero!B103="","",5%)</f>
        <v/>
      </c>
      <c r="J96" s="110" t="str">
        <f>IF(Bordero!B103="","",2%)</f>
        <v/>
      </c>
      <c r="K96" s="111" t="str">
        <f>IF(Bordero!B103="","",90)</f>
        <v/>
      </c>
      <c r="L96" s="31"/>
      <c r="M96" s="37"/>
      <c r="N96" s="31"/>
      <c r="O96" s="37"/>
      <c r="P96" s="31"/>
      <c r="Q96" s="37"/>
      <c r="R96" s="31"/>
      <c r="S96" s="31"/>
      <c r="T96" s="31" t="str">
        <f>IF(Bordero!B103="","","several")</f>
        <v/>
      </c>
      <c r="U96" s="31" t="str">
        <f>IF(Bordero!B103="","",Bordero!$C$4)</f>
        <v/>
      </c>
      <c r="V96" s="142" t="str">
        <f>IF(Bordero!B103="","",Bordero!$C$3)</f>
        <v/>
      </c>
      <c r="W96" s="31"/>
      <c r="X96" s="31" t="str">
        <f>IF(Bordero!B103="","",Bordero!K103)</f>
        <v/>
      </c>
      <c r="Y96" s="31"/>
      <c r="Z96" s="31"/>
      <c r="AA96" s="31"/>
      <c r="AB96" s="31"/>
      <c r="AC96" s="31"/>
      <c r="AD96" s="31"/>
    </row>
    <row r="97" spans="1:30">
      <c r="A97" s="31" t="str">
        <f>IF(Bordero!B104="","",IF(Bordero!$E$3="Comissária",Bordero!$C$4,Bordero!C104))</f>
        <v/>
      </c>
      <c r="B97" s="31" t="str">
        <f>IF(Bordero!B104="","",Bordero!B104)</f>
        <v/>
      </c>
      <c r="C97" s="31" t="str">
        <f>IF(Bordero!B104="","",IF(Bordero!$E$3="Comissária",Bordero!G99,Bordero!G104))</f>
        <v/>
      </c>
      <c r="D97" s="47" t="str">
        <f>IF(Bordero!B104="","",Bordero!I104)</f>
        <v/>
      </c>
      <c r="E97" s="31" t="str">
        <f>IF(Bordero!B104="","",Bordero!F104)</f>
        <v/>
      </c>
      <c r="F97" s="31"/>
      <c r="G97" s="31" t="str">
        <f>IF(Bordero!B104="","",Bordero!D104)</f>
        <v/>
      </c>
      <c r="H97" s="31"/>
      <c r="I97" s="110" t="str">
        <f>IF(Bordero!B104="","",5%)</f>
        <v/>
      </c>
      <c r="J97" s="110" t="str">
        <f>IF(Bordero!B104="","",2%)</f>
        <v/>
      </c>
      <c r="K97" s="111" t="str">
        <f>IF(Bordero!B104="","",90)</f>
        <v/>
      </c>
      <c r="L97" s="31"/>
      <c r="M97" s="37"/>
      <c r="N97" s="31"/>
      <c r="O97" s="37"/>
      <c r="P97" s="31"/>
      <c r="Q97" s="37"/>
      <c r="R97" s="31"/>
      <c r="S97" s="31"/>
      <c r="T97" s="31" t="str">
        <f>IF(Bordero!B104="","","several")</f>
        <v/>
      </c>
      <c r="U97" s="31" t="str">
        <f>IF(Bordero!B104="","",Bordero!$C$4)</f>
        <v/>
      </c>
      <c r="V97" s="142" t="str">
        <f>IF(Bordero!B104="","",Bordero!$C$3)</f>
        <v/>
      </c>
      <c r="W97" s="31"/>
      <c r="X97" s="31" t="str">
        <f>IF(Bordero!B104="","",Bordero!K104)</f>
        <v/>
      </c>
      <c r="Y97" s="31"/>
      <c r="Z97" s="31"/>
      <c r="AA97" s="31"/>
      <c r="AB97" s="31"/>
      <c r="AC97" s="31"/>
      <c r="AD97" s="31"/>
    </row>
    <row r="98" spans="1:30">
      <c r="A98" s="31" t="str">
        <f>IF(Bordero!B105="","",IF(Bordero!$E$3="Comissária",Bordero!$C$4,Bordero!C105))</f>
        <v/>
      </c>
      <c r="B98" s="31" t="str">
        <f>IF(Bordero!B105="","",Bordero!B105)</f>
        <v/>
      </c>
      <c r="C98" s="31" t="str">
        <f>IF(Bordero!B105="","",IF(Bordero!$E$3="Comissária",Bordero!G100,Bordero!G105))</f>
        <v/>
      </c>
      <c r="D98" s="47" t="str">
        <f>IF(Bordero!B105="","",Bordero!I105)</f>
        <v/>
      </c>
      <c r="E98" s="31" t="str">
        <f>IF(Bordero!B105="","",Bordero!F105)</f>
        <v/>
      </c>
      <c r="F98" s="31"/>
      <c r="G98" s="31" t="str">
        <f>IF(Bordero!B105="","",Bordero!D105)</f>
        <v/>
      </c>
      <c r="H98" s="31"/>
      <c r="I98" s="110" t="str">
        <f>IF(Bordero!B105="","",5%)</f>
        <v/>
      </c>
      <c r="J98" s="110" t="str">
        <f>IF(Bordero!B105="","",2%)</f>
        <v/>
      </c>
      <c r="K98" s="111" t="str">
        <f>IF(Bordero!B105="","",90)</f>
        <v/>
      </c>
      <c r="L98" s="31"/>
      <c r="M98" s="37"/>
      <c r="N98" s="31"/>
      <c r="O98" s="37"/>
      <c r="P98" s="31"/>
      <c r="Q98" s="37"/>
      <c r="R98" s="31"/>
      <c r="S98" s="31"/>
      <c r="T98" s="31" t="str">
        <f>IF(Bordero!B105="","","several")</f>
        <v/>
      </c>
      <c r="U98" s="31" t="str">
        <f>IF(Bordero!B105="","",Bordero!$C$4)</f>
        <v/>
      </c>
      <c r="V98" s="142" t="str">
        <f>IF(Bordero!B105="","",Bordero!$C$3)</f>
        <v/>
      </c>
      <c r="W98" s="31"/>
      <c r="X98" s="31" t="str">
        <f>IF(Bordero!B105="","",Bordero!K105)</f>
        <v/>
      </c>
      <c r="Y98" s="31"/>
      <c r="Z98" s="31"/>
      <c r="AA98" s="31"/>
      <c r="AB98" s="31"/>
      <c r="AC98" s="31"/>
      <c r="AD98" s="31"/>
    </row>
    <row r="99" spans="1:30">
      <c r="A99" s="31" t="str">
        <f>IF(Bordero!B106="","",IF(Bordero!$E$3="Comissária",Bordero!$C$4,Bordero!C106))</f>
        <v/>
      </c>
      <c r="B99" s="31" t="str">
        <f>IF(Bordero!B106="","",Bordero!B106)</f>
        <v/>
      </c>
      <c r="C99" s="31" t="str">
        <f>IF(Bordero!B106="","",IF(Bordero!$E$3="Comissária",Bordero!G101,Bordero!G106))</f>
        <v/>
      </c>
      <c r="D99" s="47" t="str">
        <f>IF(Bordero!B106="","",Bordero!I106)</f>
        <v/>
      </c>
      <c r="E99" s="31" t="str">
        <f>IF(Bordero!B106="","",Bordero!F106)</f>
        <v/>
      </c>
      <c r="F99" s="31"/>
      <c r="G99" s="31" t="str">
        <f>IF(Bordero!B106="","",Bordero!D106)</f>
        <v/>
      </c>
      <c r="H99" s="31"/>
      <c r="I99" s="110" t="str">
        <f>IF(Bordero!B106="","",5%)</f>
        <v/>
      </c>
      <c r="J99" s="110" t="str">
        <f>IF(Bordero!B106="","",2%)</f>
        <v/>
      </c>
      <c r="K99" s="111" t="str">
        <f>IF(Bordero!B106="","",90)</f>
        <v/>
      </c>
      <c r="L99" s="31"/>
      <c r="M99" s="37"/>
      <c r="N99" s="31"/>
      <c r="O99" s="37"/>
      <c r="P99" s="31"/>
      <c r="Q99" s="37"/>
      <c r="R99" s="31"/>
      <c r="S99" s="31"/>
      <c r="T99" s="31" t="str">
        <f>IF(Bordero!B106="","","several")</f>
        <v/>
      </c>
      <c r="U99" s="31" t="str">
        <f>IF(Bordero!B106="","",Bordero!$C$4)</f>
        <v/>
      </c>
      <c r="V99" s="142" t="str">
        <f>IF(Bordero!B106="","",Bordero!$C$3)</f>
        <v/>
      </c>
      <c r="W99" s="31"/>
      <c r="X99" s="31" t="str">
        <f>IF(Bordero!B106="","",Bordero!K106)</f>
        <v/>
      </c>
      <c r="Y99" s="31"/>
      <c r="Z99" s="31"/>
      <c r="AA99" s="31"/>
      <c r="AB99" s="31"/>
      <c r="AC99" s="31"/>
      <c r="AD99" s="31"/>
    </row>
    <row r="100" spans="1:30">
      <c r="A100" s="31" t="str">
        <f>IF(Bordero!B107="","",IF(Bordero!$E$3="Comissária",Bordero!$C$4,Bordero!C107))</f>
        <v/>
      </c>
      <c r="B100" s="31" t="str">
        <f>IF(Bordero!B107="","",Bordero!B107)</f>
        <v/>
      </c>
      <c r="C100" s="31" t="str">
        <f>IF(Bordero!B107="","",IF(Bordero!$E$3="Comissária",Bordero!G102,Bordero!G107))</f>
        <v/>
      </c>
      <c r="D100" s="47" t="str">
        <f>IF(Bordero!B107="","",Bordero!I107)</f>
        <v/>
      </c>
      <c r="E100" s="31" t="str">
        <f>IF(Bordero!B107="","",Bordero!F107)</f>
        <v/>
      </c>
      <c r="F100" s="31"/>
      <c r="G100" s="31" t="str">
        <f>IF(Bordero!B107="","",Bordero!D107)</f>
        <v/>
      </c>
      <c r="H100" s="31"/>
      <c r="I100" s="110" t="str">
        <f>IF(Bordero!B107="","",5%)</f>
        <v/>
      </c>
      <c r="J100" s="110" t="str">
        <f>IF(Bordero!B107="","",2%)</f>
        <v/>
      </c>
      <c r="K100" s="111" t="str">
        <f>IF(Bordero!B107="","",90)</f>
        <v/>
      </c>
      <c r="L100" s="31"/>
      <c r="M100" s="37"/>
      <c r="N100" s="31"/>
      <c r="O100" s="37"/>
      <c r="P100" s="31"/>
      <c r="Q100" s="37"/>
      <c r="R100" s="31"/>
      <c r="S100" s="31"/>
      <c r="T100" s="31" t="str">
        <f>IF(Bordero!B107="","","several")</f>
        <v/>
      </c>
      <c r="U100" s="31" t="str">
        <f>IF(Bordero!B107="","",Bordero!$C$4)</f>
        <v/>
      </c>
      <c r="V100" s="142" t="str">
        <f>IF(Bordero!B107="","",Bordero!$C$3)</f>
        <v/>
      </c>
      <c r="W100" s="31"/>
      <c r="X100" s="31" t="str">
        <f>IF(Bordero!B107="","",Bordero!K107)</f>
        <v/>
      </c>
      <c r="Y100" s="31"/>
      <c r="Z100" s="31"/>
      <c r="AA100" s="31"/>
      <c r="AB100" s="31"/>
      <c r="AC100" s="31"/>
      <c r="AD100" s="31"/>
    </row>
    <row r="101" spans="1:30">
      <c r="A101" s="31" t="str">
        <f>IF(Bordero!B108="","",IF(Bordero!$E$3="Comissária",Bordero!$C$4,Bordero!C108))</f>
        <v/>
      </c>
      <c r="B101" s="31" t="str">
        <f>IF(Bordero!B108="","",Bordero!B108)</f>
        <v/>
      </c>
      <c r="C101" s="31" t="str">
        <f>IF(Bordero!B108="","",IF(Bordero!$E$3="Comissária",Bordero!G103,Bordero!G108))</f>
        <v/>
      </c>
      <c r="D101" s="47" t="str">
        <f>IF(Bordero!B108="","",Bordero!I108)</f>
        <v/>
      </c>
      <c r="E101" s="31" t="str">
        <f>IF(Bordero!B108="","",Bordero!F108)</f>
        <v/>
      </c>
      <c r="F101" s="31"/>
      <c r="G101" s="31" t="str">
        <f>IF(Bordero!B108="","",Bordero!D108)</f>
        <v/>
      </c>
      <c r="H101" s="31"/>
      <c r="I101" s="110" t="str">
        <f>IF(Bordero!B108="","",5%)</f>
        <v/>
      </c>
      <c r="J101" s="110" t="str">
        <f>IF(Bordero!B108="","",2%)</f>
        <v/>
      </c>
      <c r="K101" s="111" t="str">
        <f>IF(Bordero!B108="","",90)</f>
        <v/>
      </c>
      <c r="L101" s="31"/>
      <c r="M101" s="37"/>
      <c r="N101" s="31"/>
      <c r="O101" s="37"/>
      <c r="P101" s="31"/>
      <c r="Q101" s="37"/>
      <c r="R101" s="31"/>
      <c r="S101" s="31"/>
      <c r="T101" s="31" t="str">
        <f>IF(Bordero!B108="","","several")</f>
        <v/>
      </c>
      <c r="U101" s="31" t="str">
        <f>IF(Bordero!B108="","",Bordero!$C$4)</f>
        <v/>
      </c>
      <c r="V101" s="142" t="str">
        <f>IF(Bordero!B108="","",Bordero!$C$3)</f>
        <v/>
      </c>
      <c r="W101" s="31"/>
      <c r="X101" s="31" t="str">
        <f>IF(Bordero!B108="","",Bordero!K108)</f>
        <v/>
      </c>
      <c r="Y101" s="31"/>
      <c r="Z101" s="31"/>
      <c r="AA101" s="31"/>
      <c r="AB101" s="31"/>
      <c r="AC101" s="31"/>
      <c r="AD101" s="31"/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Button 1">
              <controlPr defaultSize="0" print="0" autoFill="0" autoPict="0" macro="[0]!ExportarBG">
                <anchor moveWithCells="1" sizeWithCells="1">
                  <from>
                    <xdr:col>0</xdr:col>
                    <xdr:colOff>419100</xdr:colOff>
                    <xdr:row>0</xdr:row>
                    <xdr:rowOff>9525</xdr:rowOff>
                  </from>
                  <to>
                    <xdr:col>0</xdr:col>
                    <xdr:colOff>1038225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Bordero</vt:lpstr>
      <vt:lpstr>Emails</vt:lpstr>
      <vt:lpstr>Configuração Email</vt:lpstr>
      <vt:lpstr>Import S</vt:lpstr>
      <vt:lpstr>Import O7</vt:lpstr>
      <vt:lpstr>Import A</vt:lpstr>
      <vt:lpstr>Simulador</vt:lpstr>
      <vt:lpstr>Tarifaço</vt:lpstr>
      <vt:lpstr>Import BG</vt:lpstr>
      <vt:lpstr>Bordero!Area_de_impressao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lbatista</dc:creator>
  <cp:lastModifiedBy>Gustavo</cp:lastModifiedBy>
  <cp:revision>1</cp:revision>
  <cp:lastPrinted>2025-07-18T20:03:50Z</cp:lastPrinted>
  <dcterms:created xsi:type="dcterms:W3CDTF">2016-06-14T15:56:31Z</dcterms:created>
  <dcterms:modified xsi:type="dcterms:W3CDTF">2026-06-26T14:19:23Z</dcterms:modified>
</cp:coreProperties>
</file>